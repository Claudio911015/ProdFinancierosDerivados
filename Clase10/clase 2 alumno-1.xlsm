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Hoja1" sheetId="1" state="visible" r:id="rId3"/>
    <sheet name="Hoja3" sheetId="2" state="hidden" r:id="rId4"/>
    <sheet name="Hoja4" sheetId="3" state="hidden" r:id="rId5"/>
  </sheets>
  <definedNames>
    <definedName function="false" hidden="false" name="diasMXNBASIS" vbProcedure="false">#REF!</definedName>
    <definedName function="false" hidden="false" name="diasMXNOIS" vbProcedure="false">#REF!</definedName>
    <definedName function="false" hidden="false" name="diasMXNTIIE" vbProcedure="false">#REF!</definedName>
    <definedName function="false" hidden="false" name="diasMXNuncol" vbProcedure="false">#REF!</definedName>
    <definedName function="false" hidden="false" name="diasUSDcolMXN" vbProcedure="false">#REF!</definedName>
    <definedName function="false" hidden="false" name="diasUSDL1M" vbProcedure="false">#REF!</definedName>
    <definedName function="false" hidden="false" name="diasUSDL3M" vbProcedure="false">#REF!</definedName>
    <definedName function="false" hidden="false" name="diasUSDOIS" vbProcedure="false">#REF!</definedName>
    <definedName function="false" hidden="false" name="diasUSDuncol" vbProcedure="false">#REF!</definedName>
    <definedName function="false" hidden="false" name="fdMXNBASIS" vbProcedure="false">#REF!</definedName>
    <definedName function="false" hidden="false" name="fdMXNOIS" vbProcedure="false">#REF!</definedName>
    <definedName function="false" hidden="false" name="fdMXNTIIE" vbProcedure="false">#REF!</definedName>
    <definedName function="false" hidden="false" name="fdMXNuncol" vbProcedure="false">#REF!</definedName>
    <definedName function="false" hidden="false" name="fdUSDcolMXN" vbProcedure="false">#REF!</definedName>
    <definedName function="false" hidden="false" name="fdUSDL1M" vbProcedure="false">#REF!</definedName>
    <definedName function="false" hidden="false" name="fdUSDL3M" vbProcedure="false">#REF!</definedName>
    <definedName function="false" hidden="false" name="fdUSDOIS" vbProcedure="false">#REF!</definedName>
    <definedName function="false" hidden="false" name="fdUSDuncol" vbProcedure="false">#REF!</definedName>
    <definedName function="false" hidden="false" name="hoy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<sst xmlns="http://schemas.openxmlformats.org/spreadsheetml/2006/main" count="86" uniqueCount="44">
  <si>
    <t xml:space="preserve">Curva  TIIE28D</t>
  </si>
  <si>
    <t xml:space="preserve">Curva Libor 3M</t>
  </si>
  <si>
    <t xml:space="preserve">Tenor</t>
  </si>
  <si>
    <t xml:space="preserve">Tasa swap IRS (%, Act/360)</t>
  </si>
  <si>
    <t xml:space="preserve">Tipo Cotización</t>
  </si>
  <si>
    <t xml:space="preserve">shock (bp)</t>
  </si>
  <si>
    <t xml:space="preserve">Tasa c/Shock</t>
  </si>
  <si>
    <t xml:space="preserve">Tasa Cero</t>
  </si>
  <si>
    <t xml:space="preserve">Tasa swap IRS (%, 30/360)</t>
  </si>
  <si>
    <t xml:space="preserve">Fixing Tiie28D</t>
  </si>
  <si>
    <t xml:space="preserve">Fixing Libor3M</t>
  </si>
  <si>
    <t xml:space="preserve">Tasa Fija Swap</t>
  </si>
  <si>
    <t xml:space="preserve">Dias</t>
  </si>
  <si>
    <t xml:space="preserve">Tasa Swap Interpolada</t>
  </si>
  <si>
    <t xml:space="preserve">Fact Descuento</t>
  </si>
  <si>
    <t xml:space="preserve">Tasa Cero (Smp act/360)</t>
  </si>
  <si>
    <t xml:space="preserve">Tasa Cero (Comp act/360)</t>
  </si>
  <si>
    <t xml:space="preserve">Tasa Fwd (Smp act/360)</t>
  </si>
  <si>
    <t xml:space="preserve">Dias Actual</t>
  </si>
  <si>
    <t xml:space="preserve">Tasa Cero (Act 30/360)</t>
  </si>
  <si>
    <t xml:space="preserve">IRS</t>
  </si>
  <si>
    <t xml:space="preserve">Pata Fija</t>
  </si>
  <si>
    <t xml:space="preserve">Pata Flotante</t>
  </si>
  <si>
    <t xml:space="preserve">Currency</t>
  </si>
  <si>
    <t xml:space="preserve">MXN</t>
  </si>
  <si>
    <t xml:space="preserve">Inicio</t>
  </si>
  <si>
    <t xml:space="preserve">Fin</t>
  </si>
  <si>
    <t xml:space="preserve">Plazo</t>
  </si>
  <si>
    <t xml:space="preserve">Tasa Cpn (%)</t>
  </si>
  <si>
    <t xml:space="preserve">Flujo</t>
  </si>
  <si>
    <t xml:space="preserve">Tasa Cero (%)</t>
  </si>
  <si>
    <t xml:space="preserve">FD</t>
  </si>
  <si>
    <t xml:space="preserve">Flujo Desc</t>
  </si>
  <si>
    <t xml:space="preserve">Tenor (D)</t>
  </si>
  <si>
    <t xml:space="preserve">Monto</t>
  </si>
  <si>
    <t xml:space="preserve">Tipo</t>
  </si>
  <si>
    <t xml:space="preserve">Payer</t>
  </si>
  <si>
    <t xml:space="preserve">NPV</t>
  </si>
  <si>
    <t xml:space="preserve">Rate (%)</t>
  </si>
  <si>
    <t xml:space="preserve">Spread (bp)</t>
  </si>
  <si>
    <t xml:space="preserve">NPV Swp</t>
  </si>
  <si>
    <t xml:space="preserve">Sens</t>
  </si>
  <si>
    <t xml:space="preserve">DV01 Curva  TIIE28D</t>
  </si>
  <si>
    <t xml:space="preserve">Sens MXN</t>
  </si>
</sst>
</file>

<file path=xl/styles.xml><?xml version="1.0" encoding="utf-8"?>
<styleSheet xmlns="http://schemas.openxmlformats.org/spreadsheetml/2006/main">
  <numFmts count="10">
    <numFmt numFmtId="164" formatCode="General"/>
    <numFmt numFmtId="165" formatCode="#,##0"/>
    <numFmt numFmtId="166" formatCode="0.0000"/>
    <numFmt numFmtId="167" formatCode="#,##0.0000"/>
    <numFmt numFmtId="168" formatCode="#,##0.00"/>
    <numFmt numFmtId="169" formatCode="#,##0.000000"/>
    <numFmt numFmtId="170" formatCode="m/d/yyyy"/>
    <numFmt numFmtId="171" formatCode="0.00"/>
    <numFmt numFmtId="172" formatCode="0.000000"/>
    <numFmt numFmtId="173" formatCode="#,##0.000000000"/>
  </numFmts>
  <fonts count="9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color rgb="FFFFFFFF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10"/>
      <name val="Segoe UI"/>
      <family val="2"/>
      <charset val="1"/>
    </font>
    <font>
      <sz val="9"/>
      <color rgb="FF595959"/>
      <name val="Calibri"/>
      <family val="2"/>
    </font>
    <font>
      <sz val="11"/>
      <color rgb="FFFFFFFF"/>
      <name val="Calibri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FFFFCC"/>
        <bgColor rgb="FFFFFFFF"/>
      </patternFill>
    </fill>
    <fill>
      <patternFill patternType="solid">
        <fgColor rgb="FFFF0000"/>
        <bgColor rgb="FF993300"/>
      </patternFill>
    </fill>
    <fill>
      <patternFill patternType="solid">
        <fgColor rgb="FFD9D9D9"/>
        <bgColor rgb="FFF2F2F2"/>
      </patternFill>
    </fill>
    <fill>
      <patternFill patternType="solid">
        <fgColor rgb="FFF2F2F2"/>
        <bgColor rgb="FFFFFFFF"/>
      </patternFill>
    </fill>
  </fills>
  <borders count="12">
    <border diagonalUp="false" diagonalDown="false">
      <left/>
      <right/>
      <top/>
      <bottom/>
      <diagonal/>
    </border>
    <border diagonalUp="false" diagonalDown="false"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 style="thin">
        <color rgb="FFB2B2B2"/>
      </right>
      <top style="thin">
        <color rgb="FFB2B2B2"/>
      </top>
      <bottom style="medium"/>
      <diagonal/>
    </border>
    <border diagonalUp="false" diagonalDown="false">
      <left style="thin">
        <color rgb="FFB2B2B2"/>
      </left>
      <right style="thin">
        <color rgb="FFB2B2B2"/>
      </right>
      <top style="thin">
        <color rgb="FFB2B2B2"/>
      </top>
      <bottom style="medium"/>
      <diagonal/>
    </border>
    <border diagonalUp="false" diagonalDown="false">
      <left style="thin">
        <color rgb="FFB2B2B2"/>
      </left>
      <right style="medium"/>
      <top style="thin">
        <color rgb="FFB2B2B2"/>
      </top>
      <bottom style="medium"/>
      <diagonal/>
    </border>
    <border diagonalUp="false" diagonalDown="false">
      <left style="medium"/>
      <right style="thin">
        <color rgb="FFB2B2B2"/>
      </right>
      <top style="thin">
        <color rgb="FFB2B2B2"/>
      </top>
      <bottom style="thin">
        <color rgb="FFB2B2B2"/>
      </bottom>
      <diagonal/>
    </border>
    <border diagonalUp="false" diagonalDown="false">
      <left style="thin">
        <color rgb="FFB2B2B2"/>
      </left>
      <right style="medium"/>
      <top style="thin">
        <color rgb="FFB2B2B2"/>
      </top>
      <bottom style="thin">
        <color rgb="FFB2B2B2"/>
      </bottom>
      <diagonal/>
    </border>
    <border diagonalUp="false" diagonalDown="false"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2" borderId="1" applyFont="true" applyBorder="true" applyAlignment="true" applyProtection="false">
      <alignment horizontal="general" vertical="bottom" textRotation="0" wrapText="false" indent="0" shrinkToFit="false"/>
    </xf>
  </cellStyleXfs>
  <cellXfs count="3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4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4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4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4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6" fillId="5" borderId="6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6" fillId="5" borderId="7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6" fillId="5" borderId="8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6" fillId="5" borderId="6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6" fillId="5" borderId="9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6" fillId="5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6" fillId="5" borderId="10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6" fillId="5" borderId="9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4" borderId="1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5" borderId="1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5" borderId="1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0" fillId="5" borderId="1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8" fillId="3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3" borderId="1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4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6" fillId="5" borderId="1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0" fillId="5" borderId="1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5" borderId="1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0" fillId="5" borderId="1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5" borderId="1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0" fillId="5" borderId="1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6" fillId="5" borderId="1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6" fillId="5" borderId="1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8" fontId="6" fillId="5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6" fillId="5" borderId="7" xfId="20" applyFont="true" applyBorder="true" applyAlignment="true" applyProtection="true">
      <alignment horizontal="center" vertical="center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tas 2" xfId="20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5B9BD5"/>
      <rgbColor rgb="FF993366"/>
      <rgbColor rgb="FFFFFFCC"/>
      <rgbColor rgb="FFF2F2F2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ED7D31"/>
      <rgbColor rgb="FF595959"/>
      <rgbColor rgb="FFB2B2B2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scatterChart>
        <c:scatterStyle val="lineMarker"/>
        <c:varyColors val="0"/>
        <c:ser>
          <c:idx val="0"/>
          <c:order val="0"/>
          <c:tx>
            <c:strRef>
              <c:f>Hoja1!$F$17</c:f>
              <c:strCache>
                <c:ptCount val="1"/>
                <c:pt idx="0">
                  <c:v>Tasa Cero (Comp act/360)</c:v>
                </c:pt>
              </c:strCache>
            </c:strRef>
          </c:tx>
          <c:spPr>
            <a:solidFill>
              <a:srgbClr val="5b9bd5"/>
            </a:solidFill>
            <a:ln w="19080">
              <a:solidFill>
                <a:srgbClr val="5b9bd5"/>
              </a:solidFill>
              <a:round/>
            </a:ln>
          </c:spPr>
          <c:marker>
            <c:symbol val="circle"/>
            <c:size val="5"/>
            <c:spPr>
              <a:solidFill>
                <a:srgbClr val="5b9bd5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Hoja1!$B$18:$B$147</c:f>
              <c:numCache>
                <c:formatCode>General</c:formatCode>
                <c:ptCount val="130"/>
                <c:pt idx="0">
                  <c:v>28</c:v>
                </c:pt>
                <c:pt idx="1">
                  <c:v>56</c:v>
                </c:pt>
                <c:pt idx="2">
                  <c:v>84</c:v>
                </c:pt>
                <c:pt idx="3">
                  <c:v>112</c:v>
                </c:pt>
                <c:pt idx="4">
                  <c:v>140</c:v>
                </c:pt>
                <c:pt idx="5">
                  <c:v>168</c:v>
                </c:pt>
                <c:pt idx="6">
                  <c:v>196</c:v>
                </c:pt>
                <c:pt idx="7">
                  <c:v>224</c:v>
                </c:pt>
                <c:pt idx="8">
                  <c:v>252</c:v>
                </c:pt>
                <c:pt idx="9">
                  <c:v>280</c:v>
                </c:pt>
                <c:pt idx="10">
                  <c:v>308</c:v>
                </c:pt>
                <c:pt idx="11">
                  <c:v>336</c:v>
                </c:pt>
                <c:pt idx="12">
                  <c:v>364</c:v>
                </c:pt>
                <c:pt idx="13">
                  <c:v>392</c:v>
                </c:pt>
                <c:pt idx="14">
                  <c:v>420</c:v>
                </c:pt>
                <c:pt idx="15">
                  <c:v>448</c:v>
                </c:pt>
                <c:pt idx="16">
                  <c:v>476</c:v>
                </c:pt>
                <c:pt idx="17">
                  <c:v>504</c:v>
                </c:pt>
                <c:pt idx="18">
                  <c:v>532</c:v>
                </c:pt>
                <c:pt idx="19">
                  <c:v>560</c:v>
                </c:pt>
                <c:pt idx="20">
                  <c:v>588</c:v>
                </c:pt>
                <c:pt idx="21">
                  <c:v>616</c:v>
                </c:pt>
                <c:pt idx="22">
                  <c:v>644</c:v>
                </c:pt>
                <c:pt idx="23">
                  <c:v>672</c:v>
                </c:pt>
                <c:pt idx="24">
                  <c:v>700</c:v>
                </c:pt>
                <c:pt idx="25">
                  <c:v>728</c:v>
                </c:pt>
                <c:pt idx="26">
                  <c:v>756</c:v>
                </c:pt>
                <c:pt idx="27">
                  <c:v>784</c:v>
                </c:pt>
                <c:pt idx="28">
                  <c:v>812</c:v>
                </c:pt>
                <c:pt idx="29">
                  <c:v>840</c:v>
                </c:pt>
                <c:pt idx="30">
                  <c:v>868</c:v>
                </c:pt>
                <c:pt idx="31">
                  <c:v>896</c:v>
                </c:pt>
                <c:pt idx="32">
                  <c:v>924</c:v>
                </c:pt>
                <c:pt idx="33">
                  <c:v>952</c:v>
                </c:pt>
                <c:pt idx="34">
                  <c:v>980</c:v>
                </c:pt>
                <c:pt idx="35">
                  <c:v>1008</c:v>
                </c:pt>
                <c:pt idx="36">
                  <c:v>1036</c:v>
                </c:pt>
                <c:pt idx="37">
                  <c:v>1064</c:v>
                </c:pt>
                <c:pt idx="38">
                  <c:v>1092</c:v>
                </c:pt>
                <c:pt idx="39">
                  <c:v>1120</c:v>
                </c:pt>
                <c:pt idx="40">
                  <c:v>1148</c:v>
                </c:pt>
                <c:pt idx="41">
                  <c:v>1176</c:v>
                </c:pt>
                <c:pt idx="42">
                  <c:v>1204</c:v>
                </c:pt>
                <c:pt idx="43">
                  <c:v>1232</c:v>
                </c:pt>
                <c:pt idx="44">
                  <c:v>1260</c:v>
                </c:pt>
                <c:pt idx="45">
                  <c:v>1288</c:v>
                </c:pt>
                <c:pt idx="46">
                  <c:v>1316</c:v>
                </c:pt>
                <c:pt idx="47">
                  <c:v>1344</c:v>
                </c:pt>
                <c:pt idx="48">
                  <c:v>1372</c:v>
                </c:pt>
                <c:pt idx="49">
                  <c:v>1400</c:v>
                </c:pt>
                <c:pt idx="50">
                  <c:v>1428</c:v>
                </c:pt>
                <c:pt idx="51">
                  <c:v>1456</c:v>
                </c:pt>
                <c:pt idx="52">
                  <c:v>1484</c:v>
                </c:pt>
                <c:pt idx="53">
                  <c:v>1512</c:v>
                </c:pt>
                <c:pt idx="54">
                  <c:v>1540</c:v>
                </c:pt>
                <c:pt idx="55">
                  <c:v>1568</c:v>
                </c:pt>
                <c:pt idx="56">
                  <c:v>1596</c:v>
                </c:pt>
                <c:pt idx="57">
                  <c:v>1624</c:v>
                </c:pt>
                <c:pt idx="58">
                  <c:v>1652</c:v>
                </c:pt>
                <c:pt idx="59">
                  <c:v>1680</c:v>
                </c:pt>
                <c:pt idx="60">
                  <c:v>1708</c:v>
                </c:pt>
                <c:pt idx="61">
                  <c:v>1736</c:v>
                </c:pt>
                <c:pt idx="62">
                  <c:v>1764</c:v>
                </c:pt>
                <c:pt idx="63">
                  <c:v>1792</c:v>
                </c:pt>
                <c:pt idx="64">
                  <c:v>1820</c:v>
                </c:pt>
                <c:pt idx="65">
                  <c:v>1848</c:v>
                </c:pt>
                <c:pt idx="66">
                  <c:v>1876</c:v>
                </c:pt>
                <c:pt idx="67">
                  <c:v>1904</c:v>
                </c:pt>
                <c:pt idx="68">
                  <c:v>1932</c:v>
                </c:pt>
                <c:pt idx="69">
                  <c:v>1960</c:v>
                </c:pt>
                <c:pt idx="70">
                  <c:v>1988</c:v>
                </c:pt>
                <c:pt idx="71">
                  <c:v>2016</c:v>
                </c:pt>
                <c:pt idx="72">
                  <c:v>2044</c:v>
                </c:pt>
                <c:pt idx="73">
                  <c:v>2072</c:v>
                </c:pt>
                <c:pt idx="74">
                  <c:v>2100</c:v>
                </c:pt>
                <c:pt idx="75">
                  <c:v>2128</c:v>
                </c:pt>
                <c:pt idx="76">
                  <c:v>2156</c:v>
                </c:pt>
                <c:pt idx="77">
                  <c:v>2184</c:v>
                </c:pt>
                <c:pt idx="78">
                  <c:v>2212</c:v>
                </c:pt>
                <c:pt idx="79">
                  <c:v>2240</c:v>
                </c:pt>
                <c:pt idx="80">
                  <c:v>2268</c:v>
                </c:pt>
                <c:pt idx="81">
                  <c:v>2296</c:v>
                </c:pt>
                <c:pt idx="82">
                  <c:v>2324</c:v>
                </c:pt>
                <c:pt idx="83">
                  <c:v>2352</c:v>
                </c:pt>
                <c:pt idx="84">
                  <c:v>2380</c:v>
                </c:pt>
                <c:pt idx="85">
                  <c:v>2408</c:v>
                </c:pt>
                <c:pt idx="86">
                  <c:v>2436</c:v>
                </c:pt>
                <c:pt idx="87">
                  <c:v>2464</c:v>
                </c:pt>
                <c:pt idx="88">
                  <c:v>2492</c:v>
                </c:pt>
                <c:pt idx="89">
                  <c:v>2520</c:v>
                </c:pt>
                <c:pt idx="90">
                  <c:v>2548</c:v>
                </c:pt>
                <c:pt idx="91">
                  <c:v>2576</c:v>
                </c:pt>
                <c:pt idx="92">
                  <c:v>2604</c:v>
                </c:pt>
                <c:pt idx="93">
                  <c:v>2632</c:v>
                </c:pt>
                <c:pt idx="94">
                  <c:v>2660</c:v>
                </c:pt>
                <c:pt idx="95">
                  <c:v>2688</c:v>
                </c:pt>
                <c:pt idx="96">
                  <c:v>2716</c:v>
                </c:pt>
                <c:pt idx="97">
                  <c:v>2744</c:v>
                </c:pt>
                <c:pt idx="98">
                  <c:v>2772</c:v>
                </c:pt>
                <c:pt idx="99">
                  <c:v>2800</c:v>
                </c:pt>
                <c:pt idx="100">
                  <c:v>2828</c:v>
                </c:pt>
                <c:pt idx="101">
                  <c:v>2856</c:v>
                </c:pt>
                <c:pt idx="102">
                  <c:v>2884</c:v>
                </c:pt>
                <c:pt idx="103">
                  <c:v>2912</c:v>
                </c:pt>
                <c:pt idx="104">
                  <c:v>2940</c:v>
                </c:pt>
                <c:pt idx="105">
                  <c:v>2968</c:v>
                </c:pt>
                <c:pt idx="106">
                  <c:v>2996</c:v>
                </c:pt>
                <c:pt idx="107">
                  <c:v>3024</c:v>
                </c:pt>
                <c:pt idx="108">
                  <c:v>3052</c:v>
                </c:pt>
                <c:pt idx="109">
                  <c:v>3080</c:v>
                </c:pt>
                <c:pt idx="110">
                  <c:v>3108</c:v>
                </c:pt>
                <c:pt idx="111">
                  <c:v>3136</c:v>
                </c:pt>
                <c:pt idx="112">
                  <c:v>3164</c:v>
                </c:pt>
                <c:pt idx="113">
                  <c:v>3192</c:v>
                </c:pt>
                <c:pt idx="114">
                  <c:v>3220</c:v>
                </c:pt>
                <c:pt idx="115">
                  <c:v>3248</c:v>
                </c:pt>
                <c:pt idx="116">
                  <c:v>3276</c:v>
                </c:pt>
                <c:pt idx="117">
                  <c:v>3304</c:v>
                </c:pt>
                <c:pt idx="118">
                  <c:v>3332</c:v>
                </c:pt>
                <c:pt idx="119">
                  <c:v>3360</c:v>
                </c:pt>
                <c:pt idx="120">
                  <c:v>3388</c:v>
                </c:pt>
                <c:pt idx="121">
                  <c:v>3416</c:v>
                </c:pt>
                <c:pt idx="122">
                  <c:v>3444</c:v>
                </c:pt>
                <c:pt idx="123">
                  <c:v>3472</c:v>
                </c:pt>
                <c:pt idx="124">
                  <c:v>3500</c:v>
                </c:pt>
                <c:pt idx="125">
                  <c:v>3528</c:v>
                </c:pt>
                <c:pt idx="126">
                  <c:v>3556</c:v>
                </c:pt>
                <c:pt idx="127">
                  <c:v>3584</c:v>
                </c:pt>
                <c:pt idx="128">
                  <c:v>3612</c:v>
                </c:pt>
                <c:pt idx="129">
                  <c:v>3640</c:v>
                </c:pt>
              </c:numCache>
            </c:numRef>
          </c:xVal>
          <c:yVal>
            <c:numRef>
              <c:f>Hoja1!$F$18:$F$147</c:f>
              <c:numCache>
                <c:formatCode>General</c:formatCode>
                <c:ptCount val="130"/>
                <c:pt idx="0">
                  <c:v>8.81692922419504</c:v>
                </c:pt>
                <c:pt idx="1">
                  <c:v>8.75322732473549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Hoja1!$G$17</c:f>
              <c:strCache>
                <c:ptCount val="1"/>
                <c:pt idx="0">
                  <c:v>Tasa Fwd (Smp act/360)</c:v>
                </c:pt>
              </c:strCache>
            </c:strRef>
          </c:tx>
          <c:spPr>
            <a:solidFill>
              <a:srgbClr val="ed7d31"/>
            </a:solidFill>
            <a:ln w="19080">
              <a:solidFill>
                <a:srgbClr val="ed7d31"/>
              </a:solidFill>
              <a:round/>
            </a:ln>
          </c:spPr>
          <c:marker>
            <c:symbol val="circle"/>
            <c:size val="5"/>
            <c:spPr>
              <a:solidFill>
                <a:srgbClr val="ed7d31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Hoja1!$B$18:$B$147</c:f>
              <c:numCache>
                <c:formatCode>General</c:formatCode>
                <c:ptCount val="130"/>
                <c:pt idx="0">
                  <c:v>28</c:v>
                </c:pt>
                <c:pt idx="1">
                  <c:v>56</c:v>
                </c:pt>
                <c:pt idx="2">
                  <c:v>84</c:v>
                </c:pt>
                <c:pt idx="3">
                  <c:v>112</c:v>
                </c:pt>
                <c:pt idx="4">
                  <c:v>140</c:v>
                </c:pt>
                <c:pt idx="5">
                  <c:v>168</c:v>
                </c:pt>
                <c:pt idx="6">
                  <c:v>196</c:v>
                </c:pt>
                <c:pt idx="7">
                  <c:v>224</c:v>
                </c:pt>
                <c:pt idx="8">
                  <c:v>252</c:v>
                </c:pt>
                <c:pt idx="9">
                  <c:v>280</c:v>
                </c:pt>
                <c:pt idx="10">
                  <c:v>308</c:v>
                </c:pt>
                <c:pt idx="11">
                  <c:v>336</c:v>
                </c:pt>
                <c:pt idx="12">
                  <c:v>364</c:v>
                </c:pt>
                <c:pt idx="13">
                  <c:v>392</c:v>
                </c:pt>
                <c:pt idx="14">
                  <c:v>420</c:v>
                </c:pt>
                <c:pt idx="15">
                  <c:v>448</c:v>
                </c:pt>
                <c:pt idx="16">
                  <c:v>476</c:v>
                </c:pt>
                <c:pt idx="17">
                  <c:v>504</c:v>
                </c:pt>
                <c:pt idx="18">
                  <c:v>532</c:v>
                </c:pt>
                <c:pt idx="19">
                  <c:v>560</c:v>
                </c:pt>
                <c:pt idx="20">
                  <c:v>588</c:v>
                </c:pt>
                <c:pt idx="21">
                  <c:v>616</c:v>
                </c:pt>
                <c:pt idx="22">
                  <c:v>644</c:v>
                </c:pt>
                <c:pt idx="23">
                  <c:v>672</c:v>
                </c:pt>
                <c:pt idx="24">
                  <c:v>700</c:v>
                </c:pt>
                <c:pt idx="25">
                  <c:v>728</c:v>
                </c:pt>
                <c:pt idx="26">
                  <c:v>756</c:v>
                </c:pt>
                <c:pt idx="27">
                  <c:v>784</c:v>
                </c:pt>
                <c:pt idx="28">
                  <c:v>812</c:v>
                </c:pt>
                <c:pt idx="29">
                  <c:v>840</c:v>
                </c:pt>
                <c:pt idx="30">
                  <c:v>868</c:v>
                </c:pt>
                <c:pt idx="31">
                  <c:v>896</c:v>
                </c:pt>
                <c:pt idx="32">
                  <c:v>924</c:v>
                </c:pt>
                <c:pt idx="33">
                  <c:v>952</c:v>
                </c:pt>
                <c:pt idx="34">
                  <c:v>980</c:v>
                </c:pt>
                <c:pt idx="35">
                  <c:v>1008</c:v>
                </c:pt>
                <c:pt idx="36">
                  <c:v>1036</c:v>
                </c:pt>
                <c:pt idx="37">
                  <c:v>1064</c:v>
                </c:pt>
                <c:pt idx="38">
                  <c:v>1092</c:v>
                </c:pt>
                <c:pt idx="39">
                  <c:v>1120</c:v>
                </c:pt>
                <c:pt idx="40">
                  <c:v>1148</c:v>
                </c:pt>
                <c:pt idx="41">
                  <c:v>1176</c:v>
                </c:pt>
                <c:pt idx="42">
                  <c:v>1204</c:v>
                </c:pt>
                <c:pt idx="43">
                  <c:v>1232</c:v>
                </c:pt>
                <c:pt idx="44">
                  <c:v>1260</c:v>
                </c:pt>
                <c:pt idx="45">
                  <c:v>1288</c:v>
                </c:pt>
                <c:pt idx="46">
                  <c:v>1316</c:v>
                </c:pt>
                <c:pt idx="47">
                  <c:v>1344</c:v>
                </c:pt>
                <c:pt idx="48">
                  <c:v>1372</c:v>
                </c:pt>
                <c:pt idx="49">
                  <c:v>1400</c:v>
                </c:pt>
                <c:pt idx="50">
                  <c:v>1428</c:v>
                </c:pt>
                <c:pt idx="51">
                  <c:v>1456</c:v>
                </c:pt>
                <c:pt idx="52">
                  <c:v>1484</c:v>
                </c:pt>
                <c:pt idx="53">
                  <c:v>1512</c:v>
                </c:pt>
                <c:pt idx="54">
                  <c:v>1540</c:v>
                </c:pt>
                <c:pt idx="55">
                  <c:v>1568</c:v>
                </c:pt>
                <c:pt idx="56">
                  <c:v>1596</c:v>
                </c:pt>
                <c:pt idx="57">
                  <c:v>1624</c:v>
                </c:pt>
                <c:pt idx="58">
                  <c:v>1652</c:v>
                </c:pt>
                <c:pt idx="59">
                  <c:v>1680</c:v>
                </c:pt>
                <c:pt idx="60">
                  <c:v>1708</c:v>
                </c:pt>
                <c:pt idx="61">
                  <c:v>1736</c:v>
                </c:pt>
                <c:pt idx="62">
                  <c:v>1764</c:v>
                </c:pt>
                <c:pt idx="63">
                  <c:v>1792</c:v>
                </c:pt>
                <c:pt idx="64">
                  <c:v>1820</c:v>
                </c:pt>
                <c:pt idx="65">
                  <c:v>1848</c:v>
                </c:pt>
                <c:pt idx="66">
                  <c:v>1876</c:v>
                </c:pt>
                <c:pt idx="67">
                  <c:v>1904</c:v>
                </c:pt>
                <c:pt idx="68">
                  <c:v>1932</c:v>
                </c:pt>
                <c:pt idx="69">
                  <c:v>1960</c:v>
                </c:pt>
                <c:pt idx="70">
                  <c:v>1988</c:v>
                </c:pt>
                <c:pt idx="71">
                  <c:v>2016</c:v>
                </c:pt>
                <c:pt idx="72">
                  <c:v>2044</c:v>
                </c:pt>
                <c:pt idx="73">
                  <c:v>2072</c:v>
                </c:pt>
                <c:pt idx="74">
                  <c:v>2100</c:v>
                </c:pt>
                <c:pt idx="75">
                  <c:v>2128</c:v>
                </c:pt>
                <c:pt idx="76">
                  <c:v>2156</c:v>
                </c:pt>
                <c:pt idx="77">
                  <c:v>2184</c:v>
                </c:pt>
                <c:pt idx="78">
                  <c:v>2212</c:v>
                </c:pt>
                <c:pt idx="79">
                  <c:v>2240</c:v>
                </c:pt>
                <c:pt idx="80">
                  <c:v>2268</c:v>
                </c:pt>
                <c:pt idx="81">
                  <c:v>2296</c:v>
                </c:pt>
                <c:pt idx="82">
                  <c:v>2324</c:v>
                </c:pt>
                <c:pt idx="83">
                  <c:v>2352</c:v>
                </c:pt>
                <c:pt idx="84">
                  <c:v>2380</c:v>
                </c:pt>
                <c:pt idx="85">
                  <c:v>2408</c:v>
                </c:pt>
                <c:pt idx="86">
                  <c:v>2436</c:v>
                </c:pt>
                <c:pt idx="87">
                  <c:v>2464</c:v>
                </c:pt>
                <c:pt idx="88">
                  <c:v>2492</c:v>
                </c:pt>
                <c:pt idx="89">
                  <c:v>2520</c:v>
                </c:pt>
                <c:pt idx="90">
                  <c:v>2548</c:v>
                </c:pt>
                <c:pt idx="91">
                  <c:v>2576</c:v>
                </c:pt>
                <c:pt idx="92">
                  <c:v>2604</c:v>
                </c:pt>
                <c:pt idx="93">
                  <c:v>2632</c:v>
                </c:pt>
                <c:pt idx="94">
                  <c:v>2660</c:v>
                </c:pt>
                <c:pt idx="95">
                  <c:v>2688</c:v>
                </c:pt>
                <c:pt idx="96">
                  <c:v>2716</c:v>
                </c:pt>
                <c:pt idx="97">
                  <c:v>2744</c:v>
                </c:pt>
                <c:pt idx="98">
                  <c:v>2772</c:v>
                </c:pt>
                <c:pt idx="99">
                  <c:v>2800</c:v>
                </c:pt>
                <c:pt idx="100">
                  <c:v>2828</c:v>
                </c:pt>
                <c:pt idx="101">
                  <c:v>2856</c:v>
                </c:pt>
                <c:pt idx="102">
                  <c:v>2884</c:v>
                </c:pt>
                <c:pt idx="103">
                  <c:v>2912</c:v>
                </c:pt>
                <c:pt idx="104">
                  <c:v>2940</c:v>
                </c:pt>
                <c:pt idx="105">
                  <c:v>2968</c:v>
                </c:pt>
                <c:pt idx="106">
                  <c:v>2996</c:v>
                </c:pt>
                <c:pt idx="107">
                  <c:v>3024</c:v>
                </c:pt>
                <c:pt idx="108">
                  <c:v>3052</c:v>
                </c:pt>
                <c:pt idx="109">
                  <c:v>3080</c:v>
                </c:pt>
                <c:pt idx="110">
                  <c:v>3108</c:v>
                </c:pt>
                <c:pt idx="111">
                  <c:v>3136</c:v>
                </c:pt>
                <c:pt idx="112">
                  <c:v>3164</c:v>
                </c:pt>
                <c:pt idx="113">
                  <c:v>3192</c:v>
                </c:pt>
                <c:pt idx="114">
                  <c:v>3220</c:v>
                </c:pt>
                <c:pt idx="115">
                  <c:v>3248</c:v>
                </c:pt>
                <c:pt idx="116">
                  <c:v>3276</c:v>
                </c:pt>
                <c:pt idx="117">
                  <c:v>3304</c:v>
                </c:pt>
                <c:pt idx="118">
                  <c:v>3332</c:v>
                </c:pt>
                <c:pt idx="119">
                  <c:v>3360</c:v>
                </c:pt>
                <c:pt idx="120">
                  <c:v>3388</c:v>
                </c:pt>
                <c:pt idx="121">
                  <c:v>3416</c:v>
                </c:pt>
                <c:pt idx="122">
                  <c:v>3444</c:v>
                </c:pt>
                <c:pt idx="123">
                  <c:v>3472</c:v>
                </c:pt>
                <c:pt idx="124">
                  <c:v>3500</c:v>
                </c:pt>
                <c:pt idx="125">
                  <c:v>3528</c:v>
                </c:pt>
                <c:pt idx="126">
                  <c:v>3556</c:v>
                </c:pt>
                <c:pt idx="127">
                  <c:v>3584</c:v>
                </c:pt>
                <c:pt idx="128">
                  <c:v>3612</c:v>
                </c:pt>
                <c:pt idx="129">
                  <c:v>3640</c:v>
                </c:pt>
              </c:numCache>
            </c:numRef>
          </c:xVal>
          <c:yVal>
            <c:numRef>
              <c:f>Hoja1!$G$18:$G$147</c:f>
              <c:numCache>
                <c:formatCode>General</c:formatCode>
                <c:ptCount val="130"/>
                <c:pt idx="0">
                  <c:v>8.4775</c:v>
                </c:pt>
              </c:numCache>
            </c:numRef>
          </c:yVal>
          <c:smooth val="0"/>
        </c:ser>
        <c:axId val="81886453"/>
        <c:axId val="83982068"/>
      </c:scatterChart>
      <c:valAx>
        <c:axId val="81886453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83982068"/>
        <c:crosses val="autoZero"/>
        <c:crossBetween val="midCat"/>
      </c:valAx>
      <c:valAx>
        <c:axId val="83982068"/>
        <c:scaling>
          <c:orientation val="minMax"/>
          <c:min val="6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#,##0.00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81886453"/>
        <c:crosses val="autoZero"/>
        <c:crossBetween val="midCat"/>
      </c:valAx>
      <c:spPr>
        <a:noFill/>
        <a:ln>
          <a:noFill/>
        </a:ln>
      </c:spPr>
    </c:plotArea>
    <c:legend>
      <c:legendPos val="b"/>
      <c:overlay val="0"/>
      <c:spPr>
        <a:noFill/>
        <a:ln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7</xdr:col>
      <xdr:colOff>723960</xdr:colOff>
      <xdr:row>39</xdr:row>
      <xdr:rowOff>168120</xdr:rowOff>
    </xdr:from>
    <xdr:to>
      <xdr:col>12</xdr:col>
      <xdr:colOff>415080</xdr:colOff>
      <xdr:row>54</xdr:row>
      <xdr:rowOff>142560</xdr:rowOff>
    </xdr:to>
    <xdr:graphicFrame>
      <xdr:nvGraphicFramePr>
        <xdr:cNvPr id="0" name="Gráfico 4"/>
        <xdr:cNvGraphicFramePr/>
      </xdr:nvGraphicFramePr>
      <xdr:xfrm>
        <a:off x="10521360" y="7702200"/>
        <a:ext cx="5014080" cy="28321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2:N149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C19" activeCellId="0" sqref="C19"/>
    </sheetView>
  </sheetViews>
  <sheetFormatPr defaultColWidth="10.58203125" defaultRowHeight="15" zeroHeight="false" outlineLevelRow="0" outlineLevelCol="0"/>
  <cols>
    <col collapsed="false" customWidth="true" hidden="false" outlineLevel="0" max="2" min="2" style="0" width="9.43"/>
    <col collapsed="false" customWidth="true" hidden="false" outlineLevel="0" max="3" min="3" style="0" width="22.57"/>
    <col collapsed="false" customWidth="true" hidden="false" outlineLevel="0" max="4" min="4" style="0" width="16.85"/>
    <col collapsed="false" customWidth="true" hidden="false" outlineLevel="0" max="5" min="5" style="0" width="20.86"/>
    <col collapsed="false" customWidth="true" hidden="false" outlineLevel="0" max="6" min="6" style="0" width="22"/>
    <col collapsed="false" customWidth="true" hidden="false" outlineLevel="0" max="7" min="7" style="0" width="20.28"/>
    <col collapsed="false" customWidth="true" hidden="false" outlineLevel="0" max="10" min="10" style="0" width="22.57"/>
    <col collapsed="false" customWidth="true" hidden="false" outlineLevel="0" max="11" min="11" style="0" width="13"/>
    <col collapsed="false" customWidth="true" hidden="false" outlineLevel="0" max="12" min="12" style="0" width="9.85"/>
    <col collapsed="false" customWidth="true" hidden="false" outlineLevel="0" max="13" min="13" style="0" width="20.86"/>
    <col collapsed="false" customWidth="true" hidden="false" outlineLevel="0" max="14" min="14" style="0" width="19.43"/>
    <col collapsed="false" customWidth="true" hidden="false" outlineLevel="0" max="15" min="15" style="0" width="11"/>
  </cols>
  <sheetData>
    <row r="2" customFormat="false" ht="15.75" hidden="false" customHeight="false" outlineLevel="0" collapsed="false">
      <c r="G2" s="0" t="n">
        <v>4</v>
      </c>
      <c r="N2" s="0" t="n">
        <v>6</v>
      </c>
    </row>
    <row r="3" customFormat="false" ht="19.5" hidden="false" customHeight="false" outlineLevel="0" collapsed="false">
      <c r="B3" s="1" t="s">
        <v>0</v>
      </c>
      <c r="C3" s="1"/>
      <c r="D3" s="1"/>
      <c r="E3" s="2"/>
      <c r="F3" s="2"/>
      <c r="G3" s="2"/>
      <c r="I3" s="1" t="s">
        <v>1</v>
      </c>
      <c r="J3" s="1"/>
      <c r="K3" s="1"/>
      <c r="L3" s="2"/>
      <c r="M3" s="2"/>
      <c r="N3" s="2"/>
    </row>
    <row r="4" customFormat="false" ht="15.75" hidden="false" customHeight="false" outlineLevel="0" collapsed="false">
      <c r="B4" s="3" t="s">
        <v>2</v>
      </c>
      <c r="C4" s="4" t="s">
        <v>3</v>
      </c>
      <c r="D4" s="5" t="s">
        <v>4</v>
      </c>
      <c r="E4" s="6" t="s">
        <v>5</v>
      </c>
      <c r="F4" s="6" t="s">
        <v>6</v>
      </c>
      <c r="G4" s="6" t="s">
        <v>7</v>
      </c>
      <c r="I4" s="3" t="s">
        <v>2</v>
      </c>
      <c r="J4" s="4" t="s">
        <v>8</v>
      </c>
      <c r="K4" s="5" t="s">
        <v>4</v>
      </c>
      <c r="L4" s="6" t="s">
        <v>5</v>
      </c>
      <c r="M4" s="6" t="s">
        <v>6</v>
      </c>
      <c r="N4" s="6" t="s">
        <v>7</v>
      </c>
    </row>
    <row r="5" customFormat="false" ht="15.75" hidden="false" customHeight="false" outlineLevel="0" collapsed="false">
      <c r="B5" s="7" t="n">
        <v>28</v>
      </c>
      <c r="C5" s="8" t="n">
        <v>8.4775</v>
      </c>
      <c r="D5" s="9" t="s">
        <v>9</v>
      </c>
      <c r="E5" s="10" t="n">
        <v>0</v>
      </c>
      <c r="F5" s="11" t="n">
        <f aca="false">+C5+E5%</f>
        <v>8.4775</v>
      </c>
      <c r="G5" s="11" t="n">
        <f aca="false">+VLOOKUP(B5,$B$18:$G$147,G$2,0)</f>
        <v>8.47750000000001</v>
      </c>
      <c r="I5" s="12" t="n">
        <v>90</v>
      </c>
      <c r="J5" s="8" t="n">
        <v>2.28275</v>
      </c>
      <c r="K5" s="9" t="s">
        <v>10</v>
      </c>
      <c r="L5" s="10" t="n">
        <v>0</v>
      </c>
      <c r="M5" s="11" t="n">
        <f aca="false">+J5+L5%</f>
        <v>2.28275</v>
      </c>
      <c r="N5" s="11" t="n">
        <f aca="false">+VLOOKUP(I5,$I$19:$N$39,N$2,0)</f>
        <v>2.3023655049955</v>
      </c>
    </row>
    <row r="6" customFormat="false" ht="15" hidden="false" customHeight="false" outlineLevel="0" collapsed="false">
      <c r="B6" s="13" t="n">
        <v>84</v>
      </c>
      <c r="C6" s="14" t="n">
        <v>8.36</v>
      </c>
      <c r="D6" s="15" t="s">
        <v>11</v>
      </c>
      <c r="E6" s="10" t="n">
        <v>0</v>
      </c>
      <c r="F6" s="11" t="n">
        <f aca="false">+C6+E6%</f>
        <v>8.36</v>
      </c>
      <c r="G6" s="11" t="n">
        <f aca="false">+VLOOKUP(B6,$B$18:$G$147,G$2,0)</f>
        <v>0</v>
      </c>
      <c r="I6" s="16" t="n">
        <v>180</v>
      </c>
      <c r="J6" s="14" t="n">
        <v>2.1605</v>
      </c>
      <c r="K6" s="15" t="s">
        <v>11</v>
      </c>
      <c r="L6" s="10" t="n">
        <v>0</v>
      </c>
      <c r="M6" s="11" t="n">
        <f aca="false">+J6+L6%</f>
        <v>2.1605</v>
      </c>
      <c r="N6" s="11" t="n">
        <f aca="false">+VLOOKUP(I6,$I$19:$N$39,N$2,0)</f>
        <v>0</v>
      </c>
    </row>
    <row r="7" customFormat="false" ht="15" hidden="false" customHeight="false" outlineLevel="0" collapsed="false">
      <c r="B7" s="13" t="n">
        <v>168</v>
      </c>
      <c r="C7" s="14" t="n">
        <v>8.225</v>
      </c>
      <c r="D7" s="15" t="s">
        <v>11</v>
      </c>
      <c r="E7" s="10" t="n">
        <v>0</v>
      </c>
      <c r="F7" s="11" t="n">
        <f aca="false">+C7+E7%</f>
        <v>8.225</v>
      </c>
      <c r="G7" s="11" t="n">
        <f aca="false">+VLOOKUP(B7,$B$18:$G$147,G$2,0)</f>
        <v>0</v>
      </c>
      <c r="I7" s="16" t="n">
        <v>360</v>
      </c>
      <c r="J7" s="14" t="n">
        <v>2.0457</v>
      </c>
      <c r="K7" s="15" t="s">
        <v>11</v>
      </c>
      <c r="L7" s="10" t="n">
        <v>0</v>
      </c>
      <c r="M7" s="11" t="n">
        <f aca="false">+J7+L7%</f>
        <v>2.0457</v>
      </c>
      <c r="N7" s="11" t="n">
        <f aca="false">+VLOOKUP(I7,$I$19:$N$39,N$2,0)</f>
        <v>0</v>
      </c>
    </row>
    <row r="8" customFormat="false" ht="15" hidden="false" customHeight="false" outlineLevel="0" collapsed="false">
      <c r="B8" s="13" t="n">
        <v>252</v>
      </c>
      <c r="C8" s="14" t="n">
        <v>8.085</v>
      </c>
      <c r="D8" s="15" t="s">
        <v>11</v>
      </c>
      <c r="E8" s="10" t="n">
        <v>0</v>
      </c>
      <c r="F8" s="11" t="n">
        <f aca="false">+C8+E8%</f>
        <v>8.085</v>
      </c>
      <c r="G8" s="11" t="n">
        <f aca="false">+VLOOKUP(B8,$B$18:$G$147,G$2,0)</f>
        <v>0</v>
      </c>
      <c r="I8" s="16" t="n">
        <f aca="false">+I7+360</f>
        <v>720</v>
      </c>
      <c r="J8" s="14" t="n">
        <v>1.8411</v>
      </c>
      <c r="K8" s="15" t="s">
        <v>11</v>
      </c>
      <c r="L8" s="10" t="n">
        <v>0</v>
      </c>
      <c r="M8" s="11" t="n">
        <f aca="false">+J8+L8%</f>
        <v>1.8411</v>
      </c>
      <c r="N8" s="11" t="n">
        <f aca="false">+VLOOKUP(I8,$I$19:$N$39,N$2,0)</f>
        <v>0</v>
      </c>
    </row>
    <row r="9" customFormat="false" ht="15" hidden="false" customHeight="false" outlineLevel="0" collapsed="false">
      <c r="B9" s="13" t="n">
        <v>364</v>
      </c>
      <c r="C9" s="14" t="n">
        <v>7.89</v>
      </c>
      <c r="D9" s="15" t="s">
        <v>11</v>
      </c>
      <c r="E9" s="10" t="n">
        <v>0</v>
      </c>
      <c r="F9" s="11" t="n">
        <f aca="false">+C9+E9%</f>
        <v>7.89</v>
      </c>
      <c r="G9" s="11" t="n">
        <f aca="false">+VLOOKUP(B9,$B$18:$G$147,G$2,0)</f>
        <v>0</v>
      </c>
      <c r="I9" s="16" t="n">
        <f aca="false">+I8+360</f>
        <v>1080</v>
      </c>
      <c r="J9" s="14" t="n">
        <v>1.7792</v>
      </c>
      <c r="K9" s="15" t="s">
        <v>11</v>
      </c>
      <c r="L9" s="10" t="n">
        <v>0</v>
      </c>
      <c r="M9" s="11" t="n">
        <f aca="false">+J9+L9%</f>
        <v>1.7792</v>
      </c>
      <c r="N9" s="11" t="n">
        <f aca="false">+VLOOKUP(I9,$I$19:$N$39,N$2,0)</f>
        <v>0</v>
      </c>
    </row>
    <row r="10" customFormat="false" ht="15" hidden="false" customHeight="false" outlineLevel="0" collapsed="false">
      <c r="B10" s="13" t="n">
        <v>728</v>
      </c>
      <c r="C10" s="14" t="n">
        <v>7.415</v>
      </c>
      <c r="D10" s="15" t="s">
        <v>11</v>
      </c>
      <c r="E10" s="10" t="n">
        <v>0</v>
      </c>
      <c r="F10" s="11" t="n">
        <f aca="false">+C10+E10%</f>
        <v>7.415</v>
      </c>
      <c r="G10" s="11" t="n">
        <f aca="false">+VLOOKUP(B10,$B$18:$G$147,G$2,0)</f>
        <v>0</v>
      </c>
      <c r="I10" s="16" t="n">
        <f aca="false">+I9+360</f>
        <v>1440</v>
      </c>
      <c r="J10" s="14" t="n">
        <v>1.772</v>
      </c>
      <c r="K10" s="15" t="s">
        <v>11</v>
      </c>
      <c r="L10" s="10" t="n">
        <v>0</v>
      </c>
      <c r="M10" s="11" t="n">
        <f aca="false">+J10+L10%</f>
        <v>1.772</v>
      </c>
      <c r="N10" s="11" t="n">
        <f aca="false">+VLOOKUP(I10,$I$19:$N$39,N$2,0)</f>
        <v>0</v>
      </c>
    </row>
    <row r="11" customFormat="false" ht="15" hidden="false" customHeight="false" outlineLevel="0" collapsed="false">
      <c r="B11" s="13" t="n">
        <v>1092</v>
      </c>
      <c r="C11" s="14" t="n">
        <v>7.215</v>
      </c>
      <c r="D11" s="15" t="s">
        <v>11</v>
      </c>
      <c r="E11" s="10" t="n">
        <v>0</v>
      </c>
      <c r="F11" s="11" t="n">
        <f aca="false">+C11+E11%</f>
        <v>7.215</v>
      </c>
      <c r="G11" s="11" t="n">
        <f aca="false">+VLOOKUP(B11,$B$18:$G$147,G$2,0)</f>
        <v>0</v>
      </c>
      <c r="I11" s="16" t="n">
        <f aca="false">+I10+360</f>
        <v>1800</v>
      </c>
      <c r="J11" s="14" t="n">
        <v>1.7902</v>
      </c>
      <c r="K11" s="15" t="s">
        <v>11</v>
      </c>
      <c r="L11" s="10" t="n">
        <v>0</v>
      </c>
      <c r="M11" s="11" t="n">
        <f aca="false">+J11+L11%</f>
        <v>1.7902</v>
      </c>
      <c r="N11" s="11" t="n">
        <f aca="false">+VLOOKUP(I11,$I$19:$N$39,N$2,0)</f>
        <v>0</v>
      </c>
    </row>
    <row r="12" customFormat="false" ht="15" hidden="false" customHeight="false" outlineLevel="0" collapsed="false">
      <c r="B12" s="13" t="n">
        <v>1456</v>
      </c>
      <c r="C12" s="14" t="n">
        <v>7.2</v>
      </c>
      <c r="D12" s="15" t="s">
        <v>11</v>
      </c>
      <c r="E12" s="10" t="n">
        <v>0</v>
      </c>
      <c r="F12" s="11" t="n">
        <f aca="false">+C12+E12%</f>
        <v>7.2</v>
      </c>
      <c r="G12" s="11" t="n">
        <f aca="false">+VLOOKUP(B12,$B$18:$G$147,G$2,0)</f>
        <v>0</v>
      </c>
      <c r="I12" s="16" t="n">
        <f aca="false">+I11+360</f>
        <v>2160</v>
      </c>
      <c r="J12" s="14" t="n">
        <v>1.824</v>
      </c>
      <c r="K12" s="15" t="s">
        <v>11</v>
      </c>
      <c r="L12" s="10" t="n">
        <v>0</v>
      </c>
      <c r="M12" s="11" t="n">
        <f aca="false">+J12+L12%</f>
        <v>1.824</v>
      </c>
      <c r="N12" s="11" t="n">
        <f aca="false">+VLOOKUP(I12,$I$19:$N$39,N$2,0)</f>
        <v>0</v>
      </c>
    </row>
    <row r="13" customFormat="false" ht="15" hidden="false" customHeight="false" outlineLevel="0" collapsed="false">
      <c r="B13" s="13" t="n">
        <v>1820</v>
      </c>
      <c r="C13" s="14" t="n">
        <v>7.22</v>
      </c>
      <c r="D13" s="15" t="s">
        <v>11</v>
      </c>
      <c r="E13" s="10" t="n">
        <v>0</v>
      </c>
      <c r="F13" s="11" t="n">
        <f aca="false">+C13+E13%</f>
        <v>7.22</v>
      </c>
      <c r="G13" s="11" t="n">
        <f aca="false">+VLOOKUP(B13,$B$18:$G$147,G$2,0)</f>
        <v>0</v>
      </c>
      <c r="I13" s="16" t="n">
        <f aca="false">+I12+360</f>
        <v>2520</v>
      </c>
      <c r="J13" s="14" t="n">
        <v>1.8615</v>
      </c>
      <c r="K13" s="15" t="s">
        <v>11</v>
      </c>
      <c r="L13" s="10" t="n">
        <v>0</v>
      </c>
      <c r="M13" s="11" t="n">
        <f aca="false">+J13+L13%</f>
        <v>1.8615</v>
      </c>
      <c r="N13" s="11" t="n">
        <f aca="false">+VLOOKUP(I13,$I$19:$N$39,N$2,0)</f>
        <v>0</v>
      </c>
    </row>
    <row r="14" customFormat="false" ht="15" hidden="false" customHeight="false" outlineLevel="0" collapsed="false">
      <c r="B14" s="13" t="n">
        <v>2548</v>
      </c>
      <c r="C14" s="14" t="n">
        <v>7.325</v>
      </c>
      <c r="D14" s="15" t="s">
        <v>11</v>
      </c>
      <c r="E14" s="10" t="n">
        <v>0</v>
      </c>
      <c r="F14" s="11" t="n">
        <f aca="false">+C14+E14%</f>
        <v>7.325</v>
      </c>
      <c r="G14" s="11" t="n">
        <f aca="false">+VLOOKUP(B14,$B$18:$G$147,G$2,0)</f>
        <v>0</v>
      </c>
      <c r="I14" s="16" t="n">
        <f aca="false">+I13+360</f>
        <v>2880</v>
      </c>
      <c r="J14" s="14" t="n">
        <v>1.9016</v>
      </c>
      <c r="K14" s="15" t="s">
        <v>11</v>
      </c>
      <c r="L14" s="10" t="n">
        <v>0</v>
      </c>
      <c r="M14" s="11" t="n">
        <f aca="false">+J14+L14%</f>
        <v>1.9016</v>
      </c>
      <c r="N14" s="11" t="n">
        <f aca="false">+VLOOKUP(I14,$I$19:$N$39,N$2,0)</f>
        <v>0</v>
      </c>
    </row>
    <row r="15" customFormat="false" ht="15.75" hidden="false" customHeight="false" outlineLevel="0" collapsed="false">
      <c r="B15" s="7" t="n">
        <v>3640</v>
      </c>
      <c r="C15" s="8" t="n">
        <v>7.485</v>
      </c>
      <c r="D15" s="9" t="s">
        <v>11</v>
      </c>
      <c r="E15" s="10" t="n">
        <v>0</v>
      </c>
      <c r="F15" s="11" t="n">
        <f aca="false">+C15+E15%</f>
        <v>7.485</v>
      </c>
      <c r="G15" s="11" t="n">
        <f aca="false">+VLOOKUP(B15,$B$18:$G$147,G$2,0)</f>
        <v>0</v>
      </c>
      <c r="I15" s="16" t="n">
        <f aca="false">+I14+360</f>
        <v>3240</v>
      </c>
      <c r="J15" s="14" t="n">
        <v>1.9414</v>
      </c>
      <c r="K15" s="15" t="s">
        <v>11</v>
      </c>
      <c r="L15" s="10" t="n">
        <v>0</v>
      </c>
      <c r="M15" s="11" t="n">
        <f aca="false">+J15+L15%</f>
        <v>1.9414</v>
      </c>
      <c r="N15" s="11" t="n">
        <f aca="false">+VLOOKUP(I15,$I$19:$N$39,N$2,0)</f>
        <v>0</v>
      </c>
    </row>
    <row r="16" customFormat="false" ht="15.75" hidden="false" customHeight="false" outlineLevel="0" collapsed="false">
      <c r="I16" s="12" t="n">
        <f aca="false">+I15+360</f>
        <v>3600</v>
      </c>
      <c r="J16" s="8" t="n">
        <v>1.9801</v>
      </c>
      <c r="K16" s="9" t="s">
        <v>11</v>
      </c>
      <c r="L16" s="10" t="n">
        <v>0</v>
      </c>
      <c r="M16" s="11" t="n">
        <f aca="false">+J16+L16%</f>
        <v>1.9801</v>
      </c>
      <c r="N16" s="11" t="n">
        <f aca="false">+VLOOKUP(I16,$I$19:$N$39,N$2,0)</f>
        <v>0</v>
      </c>
    </row>
    <row r="17" customFormat="false" ht="15" hidden="false" customHeight="false" outlineLevel="0" collapsed="false">
      <c r="B17" s="17" t="s">
        <v>12</v>
      </c>
      <c r="C17" s="17" t="s">
        <v>13</v>
      </c>
      <c r="D17" s="17" t="s">
        <v>14</v>
      </c>
      <c r="E17" s="17" t="s">
        <v>15</v>
      </c>
      <c r="F17" s="17" t="s">
        <v>16</v>
      </c>
      <c r="G17" s="17" t="s">
        <v>17</v>
      </c>
    </row>
    <row r="18" customFormat="false" ht="15" hidden="false" customHeight="false" outlineLevel="0" collapsed="false">
      <c r="B18" s="18" t="n">
        <v>28</v>
      </c>
      <c r="C18" s="19" t="n">
        <f aca="false">+INTERPLIN(B18,$B$5:$B$15,$F$5:$F$15)</f>
        <v>8.4775</v>
      </c>
      <c r="D18" s="20" t="n">
        <f aca="false">1/(1+C5%*28/360)</f>
        <v>0.993449579812221</v>
      </c>
      <c r="E18" s="19" t="n">
        <f aca="false">100*(1/D18-1)*360/B18</f>
        <v>8.47750000000001</v>
      </c>
      <c r="F18" s="19" t="n">
        <f aca="false">100*(D18^(-360/B18)-1)</f>
        <v>8.81692922419504</v>
      </c>
      <c r="G18" s="19" t="n">
        <f aca="false">+C18</f>
        <v>8.4775</v>
      </c>
      <c r="I18" s="17" t="s">
        <v>12</v>
      </c>
      <c r="J18" s="17" t="s">
        <v>13</v>
      </c>
      <c r="K18" s="17" t="s">
        <v>14</v>
      </c>
      <c r="L18" s="17" t="s">
        <v>18</v>
      </c>
      <c r="M18" s="17" t="s">
        <v>15</v>
      </c>
      <c r="N18" s="17" t="s">
        <v>19</v>
      </c>
    </row>
    <row r="19" customFormat="false" ht="15" hidden="false" customHeight="false" outlineLevel="0" collapsed="false">
      <c r="B19" s="18" t="n">
        <f aca="false">+B18+28</f>
        <v>56</v>
      </c>
      <c r="C19" s="19" t="n">
        <f aca="false">+INTERPLIN(B19,$B$5:$B$15,$F$5:$F$15)</f>
        <v>8.41875</v>
      </c>
      <c r="D19" s="20" t="n">
        <f aca="false">(1-C19%*28/360*SUM(D$18:D18))/(1+C19%*28/360)</f>
        <v>0.987031971839911</v>
      </c>
      <c r="E19" s="19" t="n">
        <f aca="false">100*(1/D19-1)*360/B19</f>
        <v>8.44611904105348</v>
      </c>
      <c r="F19" s="19" t="n">
        <f aca="false">100*(D19^(-360/B19)-1)</f>
        <v>8.75322732473549</v>
      </c>
      <c r="G19" s="19" t="e">
        <f aca="false">100*(D19/D20-1)*360/28</f>
        <v>#DIV/0!</v>
      </c>
      <c r="I19" s="18" t="n">
        <v>90</v>
      </c>
      <c r="J19" s="19" t="n">
        <f aca="false">+INTERPLIN(I19,$I$5:$I$16,$M$5:$M$16)</f>
        <v>2.28275</v>
      </c>
      <c r="K19" s="20" t="n">
        <f aca="false">1/(1+J5%*I5/360)</f>
        <v>0.994325508613034</v>
      </c>
      <c r="L19" s="18" t="n">
        <v>90</v>
      </c>
      <c r="M19" s="19" t="n">
        <f aca="false">100*(1/K19-1)*360/L19</f>
        <v>2.28275</v>
      </c>
      <c r="N19" s="19" t="n">
        <f aca="false">100*(K19^(-360/L19)-1)</f>
        <v>2.3023655049955</v>
      </c>
    </row>
    <row r="20" customFormat="false" ht="15" hidden="false" customHeight="false" outlineLevel="0" collapsed="false">
      <c r="B20" s="18" t="n">
        <f aca="false">+B19+28</f>
        <v>84</v>
      </c>
      <c r="C20" s="19"/>
      <c r="D20" s="20"/>
      <c r="E20" s="19"/>
      <c r="F20" s="19"/>
      <c r="G20" s="19"/>
      <c r="I20" s="18" t="n">
        <v>180</v>
      </c>
      <c r="J20" s="19"/>
      <c r="K20" s="20"/>
      <c r="L20" s="18"/>
      <c r="M20" s="19"/>
      <c r="N20" s="19"/>
    </row>
    <row r="21" customFormat="false" ht="15" hidden="false" customHeight="false" outlineLevel="0" collapsed="false">
      <c r="B21" s="18" t="n">
        <f aca="false">+B20+28</f>
        <v>112</v>
      </c>
      <c r="C21" s="19"/>
      <c r="D21" s="20"/>
      <c r="E21" s="19"/>
      <c r="F21" s="19"/>
      <c r="G21" s="19"/>
      <c r="I21" s="18" t="n">
        <f aca="false">+I20+180</f>
        <v>360</v>
      </c>
      <c r="J21" s="19"/>
      <c r="K21" s="20"/>
      <c r="L21" s="18"/>
      <c r="M21" s="19"/>
      <c r="N21" s="19"/>
    </row>
    <row r="22" customFormat="false" ht="15" hidden="false" customHeight="false" outlineLevel="0" collapsed="false">
      <c r="B22" s="18" t="n">
        <f aca="false">+B21+28</f>
        <v>140</v>
      </c>
      <c r="C22" s="19"/>
      <c r="D22" s="20"/>
      <c r="E22" s="19"/>
      <c r="F22" s="19"/>
      <c r="G22" s="19"/>
      <c r="I22" s="18" t="n">
        <f aca="false">+I21+180</f>
        <v>540</v>
      </c>
      <c r="J22" s="19"/>
      <c r="K22" s="20"/>
      <c r="L22" s="18"/>
      <c r="M22" s="19"/>
      <c r="N22" s="19"/>
    </row>
    <row r="23" customFormat="false" ht="15" hidden="false" customHeight="false" outlineLevel="0" collapsed="false">
      <c r="B23" s="18" t="n">
        <f aca="false">+B22+28</f>
        <v>168</v>
      </c>
      <c r="C23" s="19"/>
      <c r="D23" s="20"/>
      <c r="E23" s="19"/>
      <c r="F23" s="19"/>
      <c r="G23" s="19"/>
      <c r="I23" s="18" t="n">
        <f aca="false">+I22+180</f>
        <v>720</v>
      </c>
      <c r="J23" s="19"/>
      <c r="K23" s="20"/>
      <c r="L23" s="18"/>
      <c r="M23" s="19"/>
      <c r="N23" s="19"/>
    </row>
    <row r="24" customFormat="false" ht="15" hidden="false" customHeight="false" outlineLevel="0" collapsed="false">
      <c r="B24" s="18" t="n">
        <f aca="false">+B23+28</f>
        <v>196</v>
      </c>
      <c r="C24" s="19"/>
      <c r="D24" s="20"/>
      <c r="E24" s="19"/>
      <c r="F24" s="19"/>
      <c r="G24" s="19"/>
      <c r="I24" s="18" t="n">
        <f aca="false">+I23+180</f>
        <v>900</v>
      </c>
      <c r="J24" s="19"/>
      <c r="K24" s="20"/>
      <c r="L24" s="18"/>
      <c r="M24" s="19"/>
      <c r="N24" s="19"/>
    </row>
    <row r="25" customFormat="false" ht="15" hidden="false" customHeight="false" outlineLevel="0" collapsed="false">
      <c r="B25" s="18" t="n">
        <f aca="false">+B24+28</f>
        <v>224</v>
      </c>
      <c r="C25" s="19"/>
      <c r="D25" s="20"/>
      <c r="E25" s="19"/>
      <c r="F25" s="19"/>
      <c r="G25" s="19"/>
      <c r="I25" s="18" t="n">
        <f aca="false">+I24+180</f>
        <v>1080</v>
      </c>
      <c r="J25" s="19"/>
      <c r="K25" s="20"/>
      <c r="L25" s="18"/>
      <c r="M25" s="19"/>
      <c r="N25" s="19"/>
    </row>
    <row r="26" customFormat="false" ht="15" hidden="false" customHeight="false" outlineLevel="0" collapsed="false">
      <c r="B26" s="18" t="n">
        <f aca="false">+B25+28</f>
        <v>252</v>
      </c>
      <c r="C26" s="19"/>
      <c r="D26" s="20"/>
      <c r="E26" s="19"/>
      <c r="F26" s="19"/>
      <c r="G26" s="19"/>
      <c r="I26" s="18" t="n">
        <f aca="false">+I25+180</f>
        <v>1260</v>
      </c>
      <c r="J26" s="19"/>
      <c r="K26" s="20"/>
      <c r="L26" s="18"/>
      <c r="M26" s="19"/>
      <c r="N26" s="19"/>
    </row>
    <row r="27" customFormat="false" ht="15" hidden="false" customHeight="false" outlineLevel="0" collapsed="false">
      <c r="B27" s="18" t="n">
        <f aca="false">+B26+28</f>
        <v>280</v>
      </c>
      <c r="C27" s="19"/>
      <c r="D27" s="20"/>
      <c r="E27" s="19"/>
      <c r="F27" s="19"/>
      <c r="G27" s="19"/>
      <c r="I27" s="18" t="n">
        <f aca="false">+I26+180</f>
        <v>1440</v>
      </c>
      <c r="J27" s="19"/>
      <c r="K27" s="20"/>
      <c r="L27" s="18"/>
      <c r="M27" s="19"/>
      <c r="N27" s="19"/>
    </row>
    <row r="28" customFormat="false" ht="15" hidden="false" customHeight="false" outlineLevel="0" collapsed="false">
      <c r="B28" s="18" t="n">
        <f aca="false">+B27+28</f>
        <v>308</v>
      </c>
      <c r="C28" s="19"/>
      <c r="D28" s="20"/>
      <c r="E28" s="19"/>
      <c r="F28" s="19"/>
      <c r="G28" s="19"/>
      <c r="I28" s="18" t="n">
        <f aca="false">+I27+180</f>
        <v>1620</v>
      </c>
      <c r="J28" s="19"/>
      <c r="K28" s="20"/>
      <c r="L28" s="18"/>
      <c r="M28" s="19"/>
      <c r="N28" s="19"/>
    </row>
    <row r="29" customFormat="false" ht="15" hidden="false" customHeight="false" outlineLevel="0" collapsed="false">
      <c r="B29" s="18" t="n">
        <f aca="false">+B28+28</f>
        <v>336</v>
      </c>
      <c r="C29" s="19"/>
      <c r="D29" s="20"/>
      <c r="E29" s="19"/>
      <c r="F29" s="19"/>
      <c r="G29" s="19"/>
      <c r="I29" s="18" t="n">
        <f aca="false">+I28+180</f>
        <v>1800</v>
      </c>
      <c r="J29" s="19"/>
      <c r="K29" s="20"/>
      <c r="L29" s="18"/>
      <c r="M29" s="19"/>
      <c r="N29" s="19"/>
    </row>
    <row r="30" customFormat="false" ht="15" hidden="false" customHeight="false" outlineLevel="0" collapsed="false">
      <c r="B30" s="18" t="n">
        <f aca="false">+B29+28</f>
        <v>364</v>
      </c>
      <c r="C30" s="19"/>
      <c r="D30" s="20"/>
      <c r="E30" s="19"/>
      <c r="F30" s="19"/>
      <c r="G30" s="19"/>
      <c r="I30" s="18" t="n">
        <f aca="false">+I29+180</f>
        <v>1980</v>
      </c>
      <c r="J30" s="19"/>
      <c r="K30" s="20"/>
      <c r="L30" s="18"/>
      <c r="M30" s="19"/>
      <c r="N30" s="19"/>
    </row>
    <row r="31" customFormat="false" ht="15" hidden="false" customHeight="false" outlineLevel="0" collapsed="false">
      <c r="B31" s="18" t="n">
        <f aca="false">+B30+28</f>
        <v>392</v>
      </c>
      <c r="C31" s="19"/>
      <c r="D31" s="20"/>
      <c r="E31" s="19"/>
      <c r="F31" s="19"/>
      <c r="G31" s="19"/>
      <c r="I31" s="18" t="n">
        <f aca="false">+I30+180</f>
        <v>2160</v>
      </c>
      <c r="J31" s="19"/>
      <c r="K31" s="20"/>
      <c r="L31" s="18"/>
      <c r="M31" s="19"/>
      <c r="N31" s="19"/>
    </row>
    <row r="32" customFormat="false" ht="15" hidden="false" customHeight="false" outlineLevel="0" collapsed="false">
      <c r="B32" s="18" t="n">
        <f aca="false">+B31+28</f>
        <v>420</v>
      </c>
      <c r="C32" s="19"/>
      <c r="D32" s="20"/>
      <c r="E32" s="19"/>
      <c r="F32" s="19"/>
      <c r="G32" s="19"/>
      <c r="I32" s="18" t="n">
        <f aca="false">+I31+180</f>
        <v>2340</v>
      </c>
      <c r="J32" s="19"/>
      <c r="K32" s="20"/>
      <c r="L32" s="18"/>
      <c r="M32" s="19"/>
      <c r="N32" s="19"/>
    </row>
    <row r="33" customFormat="false" ht="15" hidden="false" customHeight="false" outlineLevel="0" collapsed="false">
      <c r="B33" s="18" t="n">
        <f aca="false">+B32+28</f>
        <v>448</v>
      </c>
      <c r="C33" s="19"/>
      <c r="D33" s="20"/>
      <c r="E33" s="19"/>
      <c r="F33" s="19"/>
      <c r="G33" s="19"/>
      <c r="I33" s="18" t="n">
        <f aca="false">+I32+180</f>
        <v>2520</v>
      </c>
      <c r="J33" s="19"/>
      <c r="K33" s="20"/>
      <c r="L33" s="18"/>
      <c r="M33" s="19"/>
      <c r="N33" s="19"/>
    </row>
    <row r="34" customFormat="false" ht="15" hidden="false" customHeight="false" outlineLevel="0" collapsed="false">
      <c r="B34" s="18" t="n">
        <f aca="false">+B33+28</f>
        <v>476</v>
      </c>
      <c r="C34" s="19"/>
      <c r="D34" s="20"/>
      <c r="E34" s="19"/>
      <c r="F34" s="19"/>
      <c r="G34" s="19"/>
      <c r="I34" s="18" t="n">
        <f aca="false">+I33+180</f>
        <v>2700</v>
      </c>
      <c r="J34" s="19"/>
      <c r="K34" s="20"/>
      <c r="L34" s="18"/>
      <c r="M34" s="19"/>
      <c r="N34" s="19"/>
    </row>
    <row r="35" customFormat="false" ht="15" hidden="false" customHeight="false" outlineLevel="0" collapsed="false">
      <c r="B35" s="18" t="n">
        <f aca="false">+B34+28</f>
        <v>504</v>
      </c>
      <c r="C35" s="19"/>
      <c r="D35" s="20"/>
      <c r="E35" s="19"/>
      <c r="F35" s="19"/>
      <c r="G35" s="19"/>
      <c r="I35" s="18" t="n">
        <f aca="false">+I34+180</f>
        <v>2880</v>
      </c>
      <c r="J35" s="19"/>
      <c r="K35" s="20"/>
      <c r="L35" s="18"/>
      <c r="M35" s="19"/>
      <c r="N35" s="19"/>
    </row>
    <row r="36" customFormat="false" ht="15" hidden="false" customHeight="false" outlineLevel="0" collapsed="false">
      <c r="B36" s="18" t="n">
        <f aca="false">+B35+28</f>
        <v>532</v>
      </c>
      <c r="C36" s="19"/>
      <c r="D36" s="20"/>
      <c r="E36" s="19"/>
      <c r="F36" s="19"/>
      <c r="G36" s="19"/>
      <c r="I36" s="18" t="n">
        <f aca="false">+I35+180</f>
        <v>3060</v>
      </c>
      <c r="J36" s="19"/>
      <c r="K36" s="20"/>
      <c r="L36" s="18"/>
      <c r="M36" s="19"/>
      <c r="N36" s="19"/>
    </row>
    <row r="37" customFormat="false" ht="15" hidden="false" customHeight="false" outlineLevel="0" collapsed="false">
      <c r="B37" s="18" t="n">
        <f aca="false">+B36+28</f>
        <v>560</v>
      </c>
      <c r="C37" s="19"/>
      <c r="D37" s="20"/>
      <c r="E37" s="19"/>
      <c r="F37" s="19"/>
      <c r="G37" s="19"/>
      <c r="I37" s="18" t="n">
        <f aca="false">+I36+180</f>
        <v>3240</v>
      </c>
      <c r="J37" s="19"/>
      <c r="K37" s="20"/>
      <c r="L37" s="18"/>
      <c r="M37" s="19"/>
      <c r="N37" s="19"/>
    </row>
    <row r="38" customFormat="false" ht="15" hidden="false" customHeight="false" outlineLevel="0" collapsed="false">
      <c r="B38" s="18" t="n">
        <f aca="false">+B37+28</f>
        <v>588</v>
      </c>
      <c r="C38" s="19"/>
      <c r="D38" s="20"/>
      <c r="E38" s="19"/>
      <c r="F38" s="19"/>
      <c r="G38" s="19"/>
      <c r="I38" s="18" t="n">
        <f aca="false">+I37+180</f>
        <v>3420</v>
      </c>
      <c r="J38" s="19"/>
      <c r="K38" s="20"/>
      <c r="L38" s="18"/>
      <c r="M38" s="19"/>
      <c r="N38" s="19"/>
    </row>
    <row r="39" customFormat="false" ht="15" hidden="false" customHeight="false" outlineLevel="0" collapsed="false">
      <c r="B39" s="18" t="n">
        <f aca="false">+B38+28</f>
        <v>616</v>
      </c>
      <c r="C39" s="19"/>
      <c r="D39" s="20"/>
      <c r="E39" s="19"/>
      <c r="F39" s="19"/>
      <c r="G39" s="19"/>
      <c r="I39" s="18" t="n">
        <f aca="false">+I38+180</f>
        <v>3600</v>
      </c>
      <c r="J39" s="19"/>
      <c r="K39" s="20"/>
      <c r="L39" s="18"/>
      <c r="M39" s="19"/>
      <c r="N39" s="19"/>
    </row>
    <row r="40" customFormat="false" ht="15" hidden="false" customHeight="false" outlineLevel="0" collapsed="false">
      <c r="B40" s="18" t="n">
        <f aca="false">+B39+28</f>
        <v>644</v>
      </c>
      <c r="C40" s="19"/>
      <c r="D40" s="20"/>
      <c r="E40" s="19"/>
      <c r="F40" s="19"/>
      <c r="G40" s="19"/>
    </row>
    <row r="41" customFormat="false" ht="15" hidden="false" customHeight="false" outlineLevel="0" collapsed="false">
      <c r="B41" s="18" t="n">
        <f aca="false">+B40+28</f>
        <v>672</v>
      </c>
      <c r="C41" s="19"/>
      <c r="D41" s="20"/>
      <c r="E41" s="19"/>
      <c r="F41" s="19"/>
      <c r="G41" s="19"/>
    </row>
    <row r="42" customFormat="false" ht="15" hidden="false" customHeight="false" outlineLevel="0" collapsed="false">
      <c r="B42" s="18" t="n">
        <f aca="false">+B41+28</f>
        <v>700</v>
      </c>
      <c r="C42" s="19"/>
      <c r="D42" s="20"/>
      <c r="E42" s="19"/>
      <c r="F42" s="19"/>
      <c r="G42" s="19"/>
    </row>
    <row r="43" customFormat="false" ht="15" hidden="false" customHeight="false" outlineLevel="0" collapsed="false">
      <c r="B43" s="18" t="n">
        <f aca="false">+B42+28</f>
        <v>728</v>
      </c>
      <c r="C43" s="19"/>
      <c r="D43" s="20"/>
      <c r="E43" s="19"/>
      <c r="F43" s="19"/>
      <c r="G43" s="19"/>
    </row>
    <row r="44" customFormat="false" ht="15" hidden="false" customHeight="false" outlineLevel="0" collapsed="false">
      <c r="B44" s="18" t="n">
        <f aca="false">+B43+28</f>
        <v>756</v>
      </c>
      <c r="C44" s="19"/>
      <c r="D44" s="20"/>
      <c r="E44" s="19"/>
      <c r="F44" s="19"/>
      <c r="G44" s="19"/>
    </row>
    <row r="45" customFormat="false" ht="15" hidden="false" customHeight="false" outlineLevel="0" collapsed="false">
      <c r="B45" s="18" t="n">
        <f aca="false">+B44+28</f>
        <v>784</v>
      </c>
      <c r="C45" s="19"/>
      <c r="D45" s="20"/>
      <c r="E45" s="19"/>
      <c r="F45" s="19"/>
      <c r="G45" s="19"/>
    </row>
    <row r="46" customFormat="false" ht="15" hidden="false" customHeight="false" outlineLevel="0" collapsed="false">
      <c r="B46" s="18" t="n">
        <f aca="false">+B45+28</f>
        <v>812</v>
      </c>
      <c r="C46" s="19"/>
      <c r="D46" s="20"/>
      <c r="E46" s="19"/>
      <c r="F46" s="19"/>
      <c r="G46" s="19"/>
    </row>
    <row r="47" customFormat="false" ht="15" hidden="false" customHeight="false" outlineLevel="0" collapsed="false">
      <c r="B47" s="18" t="n">
        <f aca="false">+B46+28</f>
        <v>840</v>
      </c>
      <c r="C47" s="19"/>
      <c r="D47" s="20"/>
      <c r="E47" s="19"/>
      <c r="F47" s="19"/>
      <c r="G47" s="19"/>
    </row>
    <row r="48" customFormat="false" ht="15" hidden="false" customHeight="false" outlineLevel="0" collapsed="false">
      <c r="B48" s="18" t="n">
        <f aca="false">+B47+28</f>
        <v>868</v>
      </c>
      <c r="C48" s="19"/>
      <c r="D48" s="20"/>
      <c r="E48" s="19"/>
      <c r="F48" s="19"/>
      <c r="G48" s="19"/>
    </row>
    <row r="49" customFormat="false" ht="15" hidden="false" customHeight="false" outlineLevel="0" collapsed="false">
      <c r="B49" s="18" t="n">
        <f aca="false">+B48+28</f>
        <v>896</v>
      </c>
      <c r="C49" s="19"/>
      <c r="D49" s="20"/>
      <c r="E49" s="19"/>
      <c r="F49" s="19"/>
      <c r="G49" s="19"/>
    </row>
    <row r="50" customFormat="false" ht="15" hidden="false" customHeight="false" outlineLevel="0" collapsed="false">
      <c r="B50" s="18" t="n">
        <f aca="false">+B49+28</f>
        <v>924</v>
      </c>
      <c r="C50" s="19"/>
      <c r="D50" s="20"/>
      <c r="E50" s="19"/>
      <c r="F50" s="19"/>
      <c r="G50" s="19"/>
    </row>
    <row r="51" customFormat="false" ht="15" hidden="false" customHeight="false" outlineLevel="0" collapsed="false">
      <c r="B51" s="18" t="n">
        <f aca="false">+B50+28</f>
        <v>952</v>
      </c>
      <c r="C51" s="19"/>
      <c r="D51" s="20"/>
      <c r="E51" s="19"/>
      <c r="F51" s="19"/>
      <c r="G51" s="19"/>
    </row>
    <row r="52" customFormat="false" ht="15" hidden="false" customHeight="false" outlineLevel="0" collapsed="false">
      <c r="B52" s="18" t="n">
        <f aca="false">+B51+28</f>
        <v>980</v>
      </c>
      <c r="C52" s="19"/>
      <c r="D52" s="20"/>
      <c r="E52" s="19"/>
      <c r="F52" s="19"/>
      <c r="G52" s="19"/>
    </row>
    <row r="53" customFormat="false" ht="15" hidden="false" customHeight="false" outlineLevel="0" collapsed="false">
      <c r="B53" s="18" t="n">
        <f aca="false">+B52+28</f>
        <v>1008</v>
      </c>
      <c r="C53" s="19"/>
      <c r="D53" s="20"/>
      <c r="E53" s="19"/>
      <c r="F53" s="19"/>
      <c r="G53" s="19"/>
    </row>
    <row r="54" customFormat="false" ht="15" hidden="false" customHeight="false" outlineLevel="0" collapsed="false">
      <c r="B54" s="18" t="n">
        <f aca="false">+B53+28</f>
        <v>1036</v>
      </c>
      <c r="C54" s="19"/>
      <c r="D54" s="20"/>
      <c r="E54" s="19"/>
      <c r="F54" s="19"/>
      <c r="G54" s="19"/>
    </row>
    <row r="55" customFormat="false" ht="15" hidden="false" customHeight="false" outlineLevel="0" collapsed="false">
      <c r="B55" s="18" t="n">
        <f aca="false">+B54+28</f>
        <v>1064</v>
      </c>
      <c r="C55" s="19"/>
      <c r="D55" s="20"/>
      <c r="E55" s="19"/>
      <c r="F55" s="19"/>
      <c r="G55" s="19"/>
    </row>
    <row r="56" customFormat="false" ht="15" hidden="false" customHeight="false" outlineLevel="0" collapsed="false">
      <c r="B56" s="18" t="n">
        <f aca="false">+B55+28</f>
        <v>1092</v>
      </c>
      <c r="C56" s="19"/>
      <c r="D56" s="20"/>
      <c r="E56" s="19"/>
      <c r="F56" s="19"/>
      <c r="G56" s="19"/>
    </row>
    <row r="57" customFormat="false" ht="15" hidden="false" customHeight="false" outlineLevel="0" collapsed="false">
      <c r="B57" s="18" t="n">
        <f aca="false">+B56+28</f>
        <v>1120</v>
      </c>
      <c r="C57" s="19"/>
      <c r="D57" s="20"/>
      <c r="E57" s="19"/>
      <c r="F57" s="19"/>
      <c r="G57" s="19"/>
    </row>
    <row r="58" customFormat="false" ht="15" hidden="false" customHeight="false" outlineLevel="0" collapsed="false">
      <c r="B58" s="18" t="n">
        <f aca="false">+B57+28</f>
        <v>1148</v>
      </c>
      <c r="C58" s="19"/>
      <c r="D58" s="20"/>
      <c r="E58" s="19"/>
      <c r="F58" s="19"/>
      <c r="G58" s="19"/>
    </row>
    <row r="59" customFormat="false" ht="15" hidden="false" customHeight="false" outlineLevel="0" collapsed="false">
      <c r="B59" s="18" t="n">
        <f aca="false">+B58+28</f>
        <v>1176</v>
      </c>
      <c r="C59" s="19"/>
      <c r="D59" s="20"/>
      <c r="E59" s="19"/>
      <c r="F59" s="19"/>
      <c r="G59" s="19"/>
    </row>
    <row r="60" customFormat="false" ht="15" hidden="false" customHeight="false" outlineLevel="0" collapsed="false">
      <c r="B60" s="18" t="n">
        <f aca="false">+B59+28</f>
        <v>1204</v>
      </c>
      <c r="C60" s="19"/>
      <c r="D60" s="20"/>
      <c r="E60" s="19"/>
      <c r="F60" s="19"/>
      <c r="G60" s="19"/>
    </row>
    <row r="61" customFormat="false" ht="15" hidden="false" customHeight="false" outlineLevel="0" collapsed="false">
      <c r="B61" s="18" t="n">
        <f aca="false">+B60+28</f>
        <v>1232</v>
      </c>
      <c r="C61" s="19"/>
      <c r="D61" s="20"/>
      <c r="E61" s="19"/>
      <c r="F61" s="19"/>
      <c r="G61" s="19"/>
    </row>
    <row r="62" customFormat="false" ht="15" hidden="false" customHeight="false" outlineLevel="0" collapsed="false">
      <c r="B62" s="18" t="n">
        <f aca="false">+B61+28</f>
        <v>1260</v>
      </c>
      <c r="C62" s="19"/>
      <c r="D62" s="20"/>
      <c r="E62" s="19"/>
      <c r="F62" s="19"/>
      <c r="G62" s="19"/>
    </row>
    <row r="63" customFormat="false" ht="15" hidden="false" customHeight="false" outlineLevel="0" collapsed="false">
      <c r="B63" s="18" t="n">
        <f aca="false">+B62+28</f>
        <v>1288</v>
      </c>
      <c r="C63" s="19"/>
      <c r="D63" s="20"/>
      <c r="E63" s="19"/>
      <c r="F63" s="19"/>
      <c r="G63" s="19"/>
    </row>
    <row r="64" customFormat="false" ht="15" hidden="false" customHeight="false" outlineLevel="0" collapsed="false">
      <c r="B64" s="18" t="n">
        <f aca="false">+B63+28</f>
        <v>1316</v>
      </c>
      <c r="C64" s="19"/>
      <c r="D64" s="20"/>
      <c r="E64" s="19"/>
      <c r="F64" s="19"/>
      <c r="G64" s="19"/>
    </row>
    <row r="65" customFormat="false" ht="15" hidden="false" customHeight="false" outlineLevel="0" collapsed="false">
      <c r="B65" s="18" t="n">
        <f aca="false">+B64+28</f>
        <v>1344</v>
      </c>
      <c r="C65" s="19"/>
      <c r="D65" s="20"/>
      <c r="E65" s="19"/>
      <c r="F65" s="19"/>
      <c r="G65" s="19"/>
    </row>
    <row r="66" customFormat="false" ht="15" hidden="false" customHeight="false" outlineLevel="0" collapsed="false">
      <c r="B66" s="18" t="n">
        <f aca="false">+B65+28</f>
        <v>1372</v>
      </c>
      <c r="C66" s="19"/>
      <c r="D66" s="20"/>
      <c r="E66" s="19"/>
      <c r="F66" s="19"/>
      <c r="G66" s="19"/>
    </row>
    <row r="67" customFormat="false" ht="15" hidden="false" customHeight="false" outlineLevel="0" collapsed="false">
      <c r="B67" s="18" t="n">
        <f aca="false">+B66+28</f>
        <v>1400</v>
      </c>
      <c r="C67" s="19"/>
      <c r="D67" s="20"/>
      <c r="E67" s="19"/>
      <c r="F67" s="19"/>
      <c r="G67" s="19"/>
    </row>
    <row r="68" customFormat="false" ht="15" hidden="false" customHeight="false" outlineLevel="0" collapsed="false">
      <c r="B68" s="18" t="n">
        <f aca="false">+B67+28</f>
        <v>1428</v>
      </c>
      <c r="C68" s="19"/>
      <c r="D68" s="20"/>
      <c r="E68" s="19"/>
      <c r="F68" s="19"/>
      <c r="G68" s="19"/>
    </row>
    <row r="69" customFormat="false" ht="15" hidden="false" customHeight="false" outlineLevel="0" collapsed="false">
      <c r="B69" s="18" t="n">
        <f aca="false">+B68+28</f>
        <v>1456</v>
      </c>
      <c r="C69" s="19"/>
      <c r="D69" s="20"/>
      <c r="E69" s="19"/>
      <c r="F69" s="19"/>
      <c r="G69" s="19"/>
    </row>
    <row r="70" customFormat="false" ht="15" hidden="false" customHeight="false" outlineLevel="0" collapsed="false">
      <c r="B70" s="18" t="n">
        <f aca="false">+B69+28</f>
        <v>1484</v>
      </c>
      <c r="C70" s="19"/>
      <c r="D70" s="20"/>
      <c r="E70" s="19"/>
      <c r="F70" s="19"/>
      <c r="G70" s="19"/>
    </row>
    <row r="71" customFormat="false" ht="15" hidden="false" customHeight="false" outlineLevel="0" collapsed="false">
      <c r="B71" s="18" t="n">
        <f aca="false">+B70+28</f>
        <v>1512</v>
      </c>
      <c r="C71" s="19"/>
      <c r="D71" s="20"/>
      <c r="E71" s="19"/>
      <c r="F71" s="19"/>
      <c r="G71" s="19"/>
    </row>
    <row r="72" customFormat="false" ht="15" hidden="false" customHeight="false" outlineLevel="0" collapsed="false">
      <c r="B72" s="18" t="n">
        <f aca="false">+B71+28</f>
        <v>1540</v>
      </c>
      <c r="C72" s="19"/>
      <c r="D72" s="20"/>
      <c r="E72" s="19"/>
      <c r="F72" s="19"/>
      <c r="G72" s="19"/>
    </row>
    <row r="73" customFormat="false" ht="15" hidden="false" customHeight="false" outlineLevel="0" collapsed="false">
      <c r="B73" s="18" t="n">
        <f aca="false">+B72+28</f>
        <v>1568</v>
      </c>
      <c r="C73" s="19"/>
      <c r="D73" s="20"/>
      <c r="E73" s="19"/>
      <c r="F73" s="19"/>
      <c r="G73" s="19"/>
    </row>
    <row r="74" customFormat="false" ht="15" hidden="false" customHeight="false" outlineLevel="0" collapsed="false">
      <c r="B74" s="18" t="n">
        <f aca="false">+B73+28</f>
        <v>1596</v>
      </c>
      <c r="C74" s="19"/>
      <c r="D74" s="20"/>
      <c r="E74" s="19"/>
      <c r="F74" s="19"/>
      <c r="G74" s="19"/>
    </row>
    <row r="75" customFormat="false" ht="15" hidden="false" customHeight="false" outlineLevel="0" collapsed="false">
      <c r="B75" s="18" t="n">
        <f aca="false">+B74+28</f>
        <v>1624</v>
      </c>
      <c r="C75" s="19"/>
      <c r="D75" s="20"/>
      <c r="E75" s="19"/>
      <c r="F75" s="19"/>
      <c r="G75" s="19"/>
    </row>
    <row r="76" customFormat="false" ht="15" hidden="false" customHeight="false" outlineLevel="0" collapsed="false">
      <c r="B76" s="18" t="n">
        <f aca="false">+B75+28</f>
        <v>1652</v>
      </c>
      <c r="C76" s="19"/>
      <c r="D76" s="20"/>
      <c r="E76" s="19"/>
      <c r="F76" s="19"/>
      <c r="G76" s="19"/>
    </row>
    <row r="77" customFormat="false" ht="15" hidden="false" customHeight="false" outlineLevel="0" collapsed="false">
      <c r="B77" s="18" t="n">
        <f aca="false">+B76+28</f>
        <v>1680</v>
      </c>
      <c r="C77" s="19"/>
      <c r="D77" s="20"/>
      <c r="E77" s="19"/>
      <c r="F77" s="19"/>
      <c r="G77" s="19"/>
    </row>
    <row r="78" customFormat="false" ht="15" hidden="false" customHeight="false" outlineLevel="0" collapsed="false">
      <c r="B78" s="18" t="n">
        <f aca="false">+B77+28</f>
        <v>1708</v>
      </c>
      <c r="C78" s="19"/>
      <c r="D78" s="20"/>
      <c r="E78" s="19"/>
      <c r="F78" s="19"/>
      <c r="G78" s="19"/>
    </row>
    <row r="79" customFormat="false" ht="15" hidden="false" customHeight="false" outlineLevel="0" collapsed="false">
      <c r="B79" s="18" t="n">
        <f aca="false">+B78+28</f>
        <v>1736</v>
      </c>
      <c r="C79" s="19"/>
      <c r="D79" s="20"/>
      <c r="E79" s="19"/>
      <c r="F79" s="19"/>
      <c r="G79" s="19"/>
    </row>
    <row r="80" customFormat="false" ht="15" hidden="false" customHeight="false" outlineLevel="0" collapsed="false">
      <c r="B80" s="18" t="n">
        <f aca="false">+B79+28</f>
        <v>1764</v>
      </c>
      <c r="C80" s="19"/>
      <c r="D80" s="20"/>
      <c r="E80" s="19"/>
      <c r="F80" s="19"/>
      <c r="G80" s="19"/>
    </row>
    <row r="81" customFormat="false" ht="15" hidden="false" customHeight="false" outlineLevel="0" collapsed="false">
      <c r="B81" s="18" t="n">
        <f aca="false">+B80+28</f>
        <v>1792</v>
      </c>
      <c r="C81" s="19"/>
      <c r="D81" s="20"/>
      <c r="E81" s="19"/>
      <c r="F81" s="19"/>
      <c r="G81" s="19"/>
    </row>
    <row r="82" customFormat="false" ht="15" hidden="false" customHeight="false" outlineLevel="0" collapsed="false">
      <c r="B82" s="18" t="n">
        <f aca="false">+B81+28</f>
        <v>1820</v>
      </c>
      <c r="C82" s="19"/>
      <c r="D82" s="20"/>
      <c r="E82" s="19"/>
      <c r="F82" s="19"/>
      <c r="G82" s="19"/>
    </row>
    <row r="83" customFormat="false" ht="15" hidden="false" customHeight="false" outlineLevel="0" collapsed="false">
      <c r="B83" s="18" t="n">
        <f aca="false">+B82+28</f>
        <v>1848</v>
      </c>
      <c r="C83" s="19"/>
      <c r="D83" s="20"/>
      <c r="E83" s="19"/>
      <c r="F83" s="19"/>
      <c r="G83" s="19"/>
    </row>
    <row r="84" customFormat="false" ht="15" hidden="false" customHeight="false" outlineLevel="0" collapsed="false">
      <c r="B84" s="18" t="n">
        <f aca="false">+B83+28</f>
        <v>1876</v>
      </c>
      <c r="C84" s="19"/>
      <c r="D84" s="20"/>
      <c r="E84" s="19"/>
      <c r="F84" s="19"/>
      <c r="G84" s="19"/>
    </row>
    <row r="85" customFormat="false" ht="15" hidden="false" customHeight="false" outlineLevel="0" collapsed="false">
      <c r="B85" s="18" t="n">
        <f aca="false">+B84+28</f>
        <v>1904</v>
      </c>
      <c r="C85" s="19"/>
      <c r="D85" s="20"/>
      <c r="E85" s="19"/>
      <c r="F85" s="19"/>
      <c r="G85" s="19"/>
    </row>
    <row r="86" customFormat="false" ht="15" hidden="false" customHeight="false" outlineLevel="0" collapsed="false">
      <c r="B86" s="18" t="n">
        <f aca="false">+B85+28</f>
        <v>1932</v>
      </c>
      <c r="C86" s="19"/>
      <c r="D86" s="20"/>
      <c r="E86" s="19"/>
      <c r="F86" s="19"/>
      <c r="G86" s="19"/>
    </row>
    <row r="87" customFormat="false" ht="15" hidden="false" customHeight="false" outlineLevel="0" collapsed="false">
      <c r="B87" s="18" t="n">
        <f aca="false">+B86+28</f>
        <v>1960</v>
      </c>
      <c r="C87" s="19"/>
      <c r="D87" s="20"/>
      <c r="E87" s="19"/>
      <c r="F87" s="19"/>
      <c r="G87" s="19"/>
    </row>
    <row r="88" customFormat="false" ht="15" hidden="false" customHeight="false" outlineLevel="0" collapsed="false">
      <c r="B88" s="18" t="n">
        <f aca="false">+B87+28</f>
        <v>1988</v>
      </c>
      <c r="C88" s="19"/>
      <c r="D88" s="20"/>
      <c r="E88" s="19"/>
      <c r="F88" s="19"/>
      <c r="G88" s="19"/>
    </row>
    <row r="89" customFormat="false" ht="15" hidden="false" customHeight="false" outlineLevel="0" collapsed="false">
      <c r="B89" s="18" t="n">
        <f aca="false">+B88+28</f>
        <v>2016</v>
      </c>
      <c r="C89" s="19"/>
      <c r="D89" s="20"/>
      <c r="E89" s="19"/>
      <c r="F89" s="19"/>
      <c r="G89" s="19"/>
    </row>
    <row r="90" customFormat="false" ht="15" hidden="false" customHeight="false" outlineLevel="0" collapsed="false">
      <c r="B90" s="18" t="n">
        <f aca="false">+B89+28</f>
        <v>2044</v>
      </c>
      <c r="C90" s="19"/>
      <c r="D90" s="20"/>
      <c r="E90" s="19"/>
      <c r="F90" s="19"/>
      <c r="G90" s="19"/>
    </row>
    <row r="91" customFormat="false" ht="15" hidden="false" customHeight="false" outlineLevel="0" collapsed="false">
      <c r="B91" s="18" t="n">
        <f aca="false">+B90+28</f>
        <v>2072</v>
      </c>
      <c r="C91" s="19"/>
      <c r="D91" s="20"/>
      <c r="E91" s="19"/>
      <c r="F91" s="19"/>
      <c r="G91" s="19"/>
    </row>
    <row r="92" customFormat="false" ht="15" hidden="false" customHeight="false" outlineLevel="0" collapsed="false">
      <c r="B92" s="18" t="n">
        <f aca="false">+B91+28</f>
        <v>2100</v>
      </c>
      <c r="C92" s="19"/>
      <c r="D92" s="20"/>
      <c r="E92" s="19"/>
      <c r="F92" s="19"/>
      <c r="G92" s="19"/>
    </row>
    <row r="93" customFormat="false" ht="15" hidden="false" customHeight="false" outlineLevel="0" collapsed="false">
      <c r="B93" s="18" t="n">
        <f aca="false">+B92+28</f>
        <v>2128</v>
      </c>
      <c r="C93" s="19"/>
      <c r="D93" s="20"/>
      <c r="E93" s="19"/>
      <c r="F93" s="19"/>
      <c r="G93" s="19"/>
    </row>
    <row r="94" customFormat="false" ht="15" hidden="false" customHeight="false" outlineLevel="0" collapsed="false">
      <c r="B94" s="18" t="n">
        <f aca="false">+B93+28</f>
        <v>2156</v>
      </c>
      <c r="C94" s="19"/>
      <c r="D94" s="20"/>
      <c r="E94" s="19"/>
      <c r="F94" s="19"/>
      <c r="G94" s="19"/>
    </row>
    <row r="95" customFormat="false" ht="15" hidden="false" customHeight="false" outlineLevel="0" collapsed="false">
      <c r="B95" s="18" t="n">
        <f aca="false">+B94+28</f>
        <v>2184</v>
      </c>
      <c r="C95" s="19"/>
      <c r="D95" s="20"/>
      <c r="E95" s="19"/>
      <c r="F95" s="19"/>
      <c r="G95" s="19"/>
    </row>
    <row r="96" customFormat="false" ht="15" hidden="false" customHeight="false" outlineLevel="0" collapsed="false">
      <c r="B96" s="18" t="n">
        <f aca="false">+B95+28</f>
        <v>2212</v>
      </c>
      <c r="C96" s="19"/>
      <c r="D96" s="20"/>
      <c r="E96" s="19"/>
      <c r="F96" s="19"/>
      <c r="G96" s="19"/>
    </row>
    <row r="97" customFormat="false" ht="15" hidden="false" customHeight="false" outlineLevel="0" collapsed="false">
      <c r="B97" s="18" t="n">
        <f aca="false">+B96+28</f>
        <v>2240</v>
      </c>
      <c r="C97" s="19"/>
      <c r="D97" s="20"/>
      <c r="E97" s="19"/>
      <c r="F97" s="19"/>
      <c r="G97" s="19"/>
    </row>
    <row r="98" customFormat="false" ht="15" hidden="false" customHeight="false" outlineLevel="0" collapsed="false">
      <c r="B98" s="18" t="n">
        <f aca="false">+B97+28</f>
        <v>2268</v>
      </c>
      <c r="C98" s="19"/>
      <c r="D98" s="20"/>
      <c r="E98" s="19"/>
      <c r="F98" s="19"/>
      <c r="G98" s="19"/>
    </row>
    <row r="99" customFormat="false" ht="15" hidden="false" customHeight="false" outlineLevel="0" collapsed="false">
      <c r="B99" s="18" t="n">
        <f aca="false">+B98+28</f>
        <v>2296</v>
      </c>
      <c r="C99" s="19"/>
      <c r="D99" s="20"/>
      <c r="E99" s="19"/>
      <c r="F99" s="19"/>
      <c r="G99" s="19"/>
    </row>
    <row r="100" customFormat="false" ht="15" hidden="false" customHeight="false" outlineLevel="0" collapsed="false">
      <c r="B100" s="18" t="n">
        <f aca="false">+B99+28</f>
        <v>2324</v>
      </c>
      <c r="C100" s="19"/>
      <c r="D100" s="20"/>
      <c r="E100" s="19"/>
      <c r="F100" s="19"/>
      <c r="G100" s="19"/>
    </row>
    <row r="101" customFormat="false" ht="15" hidden="false" customHeight="false" outlineLevel="0" collapsed="false">
      <c r="B101" s="18" t="n">
        <f aca="false">+B100+28</f>
        <v>2352</v>
      </c>
      <c r="C101" s="19"/>
      <c r="D101" s="20"/>
      <c r="E101" s="19"/>
      <c r="F101" s="19"/>
      <c r="G101" s="19"/>
    </row>
    <row r="102" customFormat="false" ht="15" hidden="false" customHeight="false" outlineLevel="0" collapsed="false">
      <c r="B102" s="18" t="n">
        <f aca="false">+B101+28</f>
        <v>2380</v>
      </c>
      <c r="C102" s="19"/>
      <c r="D102" s="20"/>
      <c r="E102" s="19"/>
      <c r="F102" s="19"/>
      <c r="G102" s="19"/>
    </row>
    <row r="103" customFormat="false" ht="15" hidden="false" customHeight="false" outlineLevel="0" collapsed="false">
      <c r="B103" s="18" t="n">
        <f aca="false">+B102+28</f>
        <v>2408</v>
      </c>
      <c r="C103" s="19"/>
      <c r="D103" s="20"/>
      <c r="E103" s="19"/>
      <c r="F103" s="19"/>
      <c r="G103" s="19"/>
    </row>
    <row r="104" customFormat="false" ht="15" hidden="false" customHeight="false" outlineLevel="0" collapsed="false">
      <c r="B104" s="18" t="n">
        <f aca="false">+B103+28</f>
        <v>2436</v>
      </c>
      <c r="C104" s="19"/>
      <c r="D104" s="20"/>
      <c r="E104" s="19"/>
      <c r="F104" s="19"/>
      <c r="G104" s="19"/>
    </row>
    <row r="105" customFormat="false" ht="15" hidden="false" customHeight="false" outlineLevel="0" collapsed="false">
      <c r="B105" s="18" t="n">
        <f aca="false">+B104+28</f>
        <v>2464</v>
      </c>
      <c r="C105" s="19"/>
      <c r="D105" s="20"/>
      <c r="E105" s="19"/>
      <c r="F105" s="19"/>
      <c r="G105" s="19"/>
    </row>
    <row r="106" customFormat="false" ht="15" hidden="false" customHeight="false" outlineLevel="0" collapsed="false">
      <c r="B106" s="18" t="n">
        <f aca="false">+B105+28</f>
        <v>2492</v>
      </c>
      <c r="C106" s="19"/>
      <c r="D106" s="20"/>
      <c r="E106" s="19"/>
      <c r="F106" s="19"/>
      <c r="G106" s="19"/>
    </row>
    <row r="107" customFormat="false" ht="15" hidden="false" customHeight="false" outlineLevel="0" collapsed="false">
      <c r="B107" s="18" t="n">
        <f aca="false">+B106+28</f>
        <v>2520</v>
      </c>
      <c r="C107" s="19"/>
      <c r="D107" s="20"/>
      <c r="E107" s="19"/>
      <c r="F107" s="19"/>
      <c r="G107" s="19"/>
    </row>
    <row r="108" customFormat="false" ht="15" hidden="false" customHeight="false" outlineLevel="0" collapsed="false">
      <c r="B108" s="18" t="n">
        <f aca="false">+B107+28</f>
        <v>2548</v>
      </c>
      <c r="C108" s="19"/>
      <c r="D108" s="20"/>
      <c r="E108" s="19"/>
      <c r="F108" s="19"/>
      <c r="G108" s="19"/>
    </row>
    <row r="109" customFormat="false" ht="15" hidden="false" customHeight="false" outlineLevel="0" collapsed="false">
      <c r="B109" s="18" t="n">
        <f aca="false">+B108+28</f>
        <v>2576</v>
      </c>
      <c r="C109" s="19"/>
      <c r="D109" s="20"/>
      <c r="E109" s="19"/>
      <c r="F109" s="19"/>
      <c r="G109" s="19"/>
    </row>
    <row r="110" customFormat="false" ht="15" hidden="false" customHeight="false" outlineLevel="0" collapsed="false">
      <c r="B110" s="18" t="n">
        <f aca="false">+B109+28</f>
        <v>2604</v>
      </c>
      <c r="C110" s="19"/>
      <c r="D110" s="20"/>
      <c r="E110" s="19"/>
      <c r="F110" s="19"/>
      <c r="G110" s="19"/>
    </row>
    <row r="111" customFormat="false" ht="15" hidden="false" customHeight="false" outlineLevel="0" collapsed="false">
      <c r="B111" s="18" t="n">
        <f aca="false">+B110+28</f>
        <v>2632</v>
      </c>
      <c r="C111" s="19"/>
      <c r="D111" s="20"/>
      <c r="E111" s="19"/>
      <c r="F111" s="19"/>
      <c r="G111" s="19"/>
    </row>
    <row r="112" customFormat="false" ht="15" hidden="false" customHeight="false" outlineLevel="0" collapsed="false">
      <c r="B112" s="18" t="n">
        <f aca="false">+B111+28</f>
        <v>2660</v>
      </c>
      <c r="C112" s="19"/>
      <c r="D112" s="20"/>
      <c r="E112" s="19"/>
      <c r="F112" s="19"/>
      <c r="G112" s="19"/>
    </row>
    <row r="113" customFormat="false" ht="15" hidden="false" customHeight="false" outlineLevel="0" collapsed="false">
      <c r="B113" s="18" t="n">
        <f aca="false">+B112+28</f>
        <v>2688</v>
      </c>
      <c r="C113" s="19"/>
      <c r="D113" s="20"/>
      <c r="E113" s="19"/>
      <c r="F113" s="19"/>
      <c r="G113" s="19"/>
    </row>
    <row r="114" customFormat="false" ht="15" hidden="false" customHeight="false" outlineLevel="0" collapsed="false">
      <c r="B114" s="18" t="n">
        <f aca="false">+B113+28</f>
        <v>2716</v>
      </c>
      <c r="C114" s="19"/>
      <c r="D114" s="20"/>
      <c r="E114" s="19"/>
      <c r="F114" s="19"/>
      <c r="G114" s="19"/>
    </row>
    <row r="115" customFormat="false" ht="15" hidden="false" customHeight="false" outlineLevel="0" collapsed="false">
      <c r="B115" s="18" t="n">
        <f aca="false">+B114+28</f>
        <v>2744</v>
      </c>
      <c r="C115" s="19"/>
      <c r="D115" s="20"/>
      <c r="E115" s="19"/>
      <c r="F115" s="19"/>
      <c r="G115" s="19"/>
    </row>
    <row r="116" customFormat="false" ht="15" hidden="false" customHeight="false" outlineLevel="0" collapsed="false">
      <c r="B116" s="18" t="n">
        <f aca="false">+B115+28</f>
        <v>2772</v>
      </c>
      <c r="C116" s="19"/>
      <c r="D116" s="20"/>
      <c r="E116" s="19"/>
      <c r="F116" s="19"/>
      <c r="G116" s="19"/>
    </row>
    <row r="117" customFormat="false" ht="15" hidden="false" customHeight="false" outlineLevel="0" collapsed="false">
      <c r="B117" s="18" t="n">
        <f aca="false">+B116+28</f>
        <v>2800</v>
      </c>
      <c r="C117" s="19"/>
      <c r="D117" s="20"/>
      <c r="E117" s="19"/>
      <c r="F117" s="19"/>
      <c r="G117" s="19"/>
    </row>
    <row r="118" customFormat="false" ht="15" hidden="false" customHeight="false" outlineLevel="0" collapsed="false">
      <c r="B118" s="18" t="n">
        <f aca="false">+B117+28</f>
        <v>2828</v>
      </c>
      <c r="C118" s="19"/>
      <c r="D118" s="20"/>
      <c r="E118" s="19"/>
      <c r="F118" s="19"/>
      <c r="G118" s="19"/>
    </row>
    <row r="119" customFormat="false" ht="15" hidden="false" customHeight="false" outlineLevel="0" collapsed="false">
      <c r="B119" s="18" t="n">
        <f aca="false">+B118+28</f>
        <v>2856</v>
      </c>
      <c r="C119" s="19"/>
      <c r="D119" s="20"/>
      <c r="E119" s="19"/>
      <c r="F119" s="19"/>
      <c r="G119" s="19"/>
    </row>
    <row r="120" customFormat="false" ht="15" hidden="false" customHeight="false" outlineLevel="0" collapsed="false">
      <c r="B120" s="18" t="n">
        <f aca="false">+B119+28</f>
        <v>2884</v>
      </c>
      <c r="C120" s="19"/>
      <c r="D120" s="20"/>
      <c r="E120" s="19"/>
      <c r="F120" s="19"/>
      <c r="G120" s="19"/>
    </row>
    <row r="121" customFormat="false" ht="15" hidden="false" customHeight="false" outlineLevel="0" collapsed="false">
      <c r="B121" s="18" t="n">
        <f aca="false">+B120+28</f>
        <v>2912</v>
      </c>
      <c r="C121" s="19"/>
      <c r="D121" s="20"/>
      <c r="E121" s="19"/>
      <c r="F121" s="19"/>
      <c r="G121" s="19"/>
    </row>
    <row r="122" customFormat="false" ht="15" hidden="false" customHeight="false" outlineLevel="0" collapsed="false">
      <c r="B122" s="18" t="n">
        <f aca="false">+B121+28</f>
        <v>2940</v>
      </c>
      <c r="C122" s="19"/>
      <c r="D122" s="20"/>
      <c r="E122" s="19"/>
      <c r="F122" s="19"/>
      <c r="G122" s="19"/>
    </row>
    <row r="123" customFormat="false" ht="15" hidden="false" customHeight="false" outlineLevel="0" collapsed="false">
      <c r="B123" s="18" t="n">
        <f aca="false">+B122+28</f>
        <v>2968</v>
      </c>
      <c r="C123" s="19"/>
      <c r="D123" s="20"/>
      <c r="E123" s="19"/>
      <c r="F123" s="19"/>
      <c r="G123" s="19"/>
    </row>
    <row r="124" customFormat="false" ht="15" hidden="false" customHeight="false" outlineLevel="0" collapsed="false">
      <c r="B124" s="18" t="n">
        <f aca="false">+B123+28</f>
        <v>2996</v>
      </c>
      <c r="C124" s="19"/>
      <c r="D124" s="20"/>
      <c r="E124" s="19"/>
      <c r="F124" s="19"/>
      <c r="G124" s="19"/>
    </row>
    <row r="125" customFormat="false" ht="15" hidden="false" customHeight="false" outlineLevel="0" collapsed="false">
      <c r="B125" s="18" t="n">
        <f aca="false">+B124+28</f>
        <v>3024</v>
      </c>
      <c r="C125" s="19"/>
      <c r="D125" s="20"/>
      <c r="E125" s="19"/>
      <c r="F125" s="19"/>
      <c r="G125" s="19"/>
    </row>
    <row r="126" customFormat="false" ht="15" hidden="false" customHeight="false" outlineLevel="0" collapsed="false">
      <c r="B126" s="18" t="n">
        <f aca="false">+B125+28</f>
        <v>3052</v>
      </c>
      <c r="C126" s="19"/>
      <c r="D126" s="20"/>
      <c r="E126" s="19"/>
      <c r="F126" s="19"/>
      <c r="G126" s="19"/>
    </row>
    <row r="127" customFormat="false" ht="15" hidden="false" customHeight="false" outlineLevel="0" collapsed="false">
      <c r="B127" s="18" t="n">
        <f aca="false">+B126+28</f>
        <v>3080</v>
      </c>
      <c r="C127" s="19"/>
      <c r="D127" s="20"/>
      <c r="E127" s="19"/>
      <c r="F127" s="19"/>
      <c r="G127" s="19"/>
    </row>
    <row r="128" customFormat="false" ht="15" hidden="false" customHeight="false" outlineLevel="0" collapsed="false">
      <c r="B128" s="18" t="n">
        <f aca="false">+B127+28</f>
        <v>3108</v>
      </c>
      <c r="C128" s="19"/>
      <c r="D128" s="20"/>
      <c r="E128" s="19"/>
      <c r="F128" s="19"/>
      <c r="G128" s="19"/>
    </row>
    <row r="129" customFormat="false" ht="15" hidden="false" customHeight="false" outlineLevel="0" collapsed="false">
      <c r="B129" s="18" t="n">
        <f aca="false">+B128+28</f>
        <v>3136</v>
      </c>
      <c r="C129" s="19"/>
      <c r="D129" s="20"/>
      <c r="E129" s="19"/>
      <c r="F129" s="19"/>
      <c r="G129" s="19"/>
    </row>
    <row r="130" customFormat="false" ht="15" hidden="false" customHeight="false" outlineLevel="0" collapsed="false">
      <c r="B130" s="18" t="n">
        <f aca="false">+B129+28</f>
        <v>3164</v>
      </c>
      <c r="C130" s="19"/>
      <c r="D130" s="20"/>
      <c r="E130" s="19"/>
      <c r="F130" s="19"/>
      <c r="G130" s="19"/>
    </row>
    <row r="131" customFormat="false" ht="15" hidden="false" customHeight="false" outlineLevel="0" collapsed="false">
      <c r="B131" s="18" t="n">
        <f aca="false">+B130+28</f>
        <v>3192</v>
      </c>
      <c r="C131" s="19"/>
      <c r="D131" s="20"/>
      <c r="E131" s="19"/>
      <c r="F131" s="19"/>
      <c r="G131" s="19"/>
    </row>
    <row r="132" customFormat="false" ht="15" hidden="false" customHeight="false" outlineLevel="0" collapsed="false">
      <c r="B132" s="18" t="n">
        <f aca="false">+B131+28</f>
        <v>3220</v>
      </c>
      <c r="C132" s="19"/>
      <c r="D132" s="20"/>
      <c r="E132" s="19"/>
      <c r="F132" s="19"/>
      <c r="G132" s="19"/>
    </row>
    <row r="133" customFormat="false" ht="15" hidden="false" customHeight="false" outlineLevel="0" collapsed="false">
      <c r="B133" s="18" t="n">
        <f aca="false">+B132+28</f>
        <v>3248</v>
      </c>
      <c r="C133" s="19"/>
      <c r="D133" s="20"/>
      <c r="E133" s="19"/>
      <c r="F133" s="19"/>
      <c r="G133" s="19"/>
    </row>
    <row r="134" customFormat="false" ht="15" hidden="false" customHeight="false" outlineLevel="0" collapsed="false">
      <c r="B134" s="18" t="n">
        <f aca="false">+B133+28</f>
        <v>3276</v>
      </c>
      <c r="C134" s="19"/>
      <c r="D134" s="20"/>
      <c r="E134" s="19"/>
      <c r="F134" s="19"/>
      <c r="G134" s="19"/>
    </row>
    <row r="135" customFormat="false" ht="15" hidden="false" customHeight="false" outlineLevel="0" collapsed="false">
      <c r="B135" s="18" t="n">
        <f aca="false">+B134+28</f>
        <v>3304</v>
      </c>
      <c r="C135" s="19"/>
      <c r="D135" s="20"/>
      <c r="E135" s="19"/>
      <c r="F135" s="19"/>
      <c r="G135" s="19"/>
    </row>
    <row r="136" customFormat="false" ht="15" hidden="false" customHeight="false" outlineLevel="0" collapsed="false">
      <c r="B136" s="18" t="n">
        <f aca="false">+B135+28</f>
        <v>3332</v>
      </c>
      <c r="C136" s="19"/>
      <c r="D136" s="20"/>
      <c r="E136" s="19"/>
      <c r="F136" s="19"/>
      <c r="G136" s="19"/>
    </row>
    <row r="137" customFormat="false" ht="15" hidden="false" customHeight="false" outlineLevel="0" collapsed="false">
      <c r="B137" s="18" t="n">
        <f aca="false">+B136+28</f>
        <v>3360</v>
      </c>
      <c r="C137" s="19"/>
      <c r="D137" s="20"/>
      <c r="E137" s="19"/>
      <c r="F137" s="19"/>
      <c r="G137" s="19"/>
    </row>
    <row r="138" customFormat="false" ht="15" hidden="false" customHeight="false" outlineLevel="0" collapsed="false">
      <c r="B138" s="18" t="n">
        <f aca="false">+B137+28</f>
        <v>3388</v>
      </c>
      <c r="C138" s="19"/>
      <c r="D138" s="20"/>
      <c r="E138" s="19"/>
      <c r="F138" s="19"/>
      <c r="G138" s="19"/>
    </row>
    <row r="139" customFormat="false" ht="15" hidden="false" customHeight="false" outlineLevel="0" collapsed="false">
      <c r="B139" s="18" t="n">
        <f aca="false">+B138+28</f>
        <v>3416</v>
      </c>
      <c r="C139" s="19"/>
      <c r="D139" s="20"/>
      <c r="E139" s="19"/>
      <c r="F139" s="19"/>
      <c r="G139" s="19"/>
    </row>
    <row r="140" customFormat="false" ht="15" hidden="false" customHeight="false" outlineLevel="0" collapsed="false">
      <c r="B140" s="18" t="n">
        <f aca="false">+B139+28</f>
        <v>3444</v>
      </c>
      <c r="C140" s="19"/>
      <c r="D140" s="20"/>
      <c r="E140" s="19"/>
      <c r="F140" s="19"/>
      <c r="G140" s="19"/>
    </row>
    <row r="141" customFormat="false" ht="15" hidden="false" customHeight="false" outlineLevel="0" collapsed="false">
      <c r="B141" s="18" t="n">
        <f aca="false">+B140+28</f>
        <v>3472</v>
      </c>
      <c r="C141" s="19"/>
      <c r="D141" s="20"/>
      <c r="E141" s="19"/>
      <c r="F141" s="19"/>
      <c r="G141" s="19"/>
    </row>
    <row r="142" customFormat="false" ht="15" hidden="false" customHeight="false" outlineLevel="0" collapsed="false">
      <c r="B142" s="18" t="n">
        <f aca="false">+B141+28</f>
        <v>3500</v>
      </c>
      <c r="C142" s="19"/>
      <c r="D142" s="20"/>
      <c r="E142" s="19"/>
      <c r="F142" s="19"/>
      <c r="G142" s="19"/>
    </row>
    <row r="143" customFormat="false" ht="15" hidden="false" customHeight="false" outlineLevel="0" collapsed="false">
      <c r="B143" s="18" t="n">
        <f aca="false">+B142+28</f>
        <v>3528</v>
      </c>
      <c r="C143" s="19"/>
      <c r="D143" s="20"/>
      <c r="E143" s="19"/>
      <c r="F143" s="19"/>
      <c r="G143" s="19"/>
    </row>
    <row r="144" customFormat="false" ht="15" hidden="false" customHeight="false" outlineLevel="0" collapsed="false">
      <c r="B144" s="18" t="n">
        <f aca="false">+B143+28</f>
        <v>3556</v>
      </c>
      <c r="C144" s="19"/>
      <c r="D144" s="20"/>
      <c r="E144" s="19"/>
      <c r="F144" s="19"/>
      <c r="G144" s="19"/>
    </row>
    <row r="145" customFormat="false" ht="15" hidden="false" customHeight="false" outlineLevel="0" collapsed="false">
      <c r="B145" s="18" t="n">
        <f aca="false">+B144+28</f>
        <v>3584</v>
      </c>
      <c r="C145" s="19"/>
      <c r="D145" s="20"/>
      <c r="E145" s="19"/>
      <c r="F145" s="19"/>
      <c r="G145" s="19"/>
    </row>
    <row r="146" customFormat="false" ht="15" hidden="false" customHeight="false" outlineLevel="0" collapsed="false">
      <c r="B146" s="18" t="n">
        <f aca="false">+B145+28</f>
        <v>3612</v>
      </c>
      <c r="C146" s="19"/>
      <c r="D146" s="20"/>
      <c r="E146" s="19"/>
      <c r="F146" s="19"/>
      <c r="G146" s="19"/>
    </row>
    <row r="147" customFormat="false" ht="15" hidden="false" customHeight="false" outlineLevel="0" collapsed="false">
      <c r="B147" s="18" t="n">
        <f aca="false">+B146+28</f>
        <v>3640</v>
      </c>
      <c r="C147" s="19"/>
      <c r="D147" s="20"/>
      <c r="E147" s="19"/>
      <c r="F147" s="19"/>
      <c r="G147" s="19"/>
    </row>
    <row r="148" customFormat="false" ht="15" hidden="false" customHeight="false" outlineLevel="0" collapsed="false">
      <c r="B148" s="10"/>
    </row>
    <row r="149" customFormat="false" ht="15" hidden="false" customHeight="false" outlineLevel="0" collapsed="false">
      <c r="B149" s="10"/>
    </row>
  </sheetData>
  <mergeCells count="2">
    <mergeCell ref="B3:D3"/>
    <mergeCell ref="I3:K3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2:U26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6" activeCellId="0" sqref="J6"/>
    </sheetView>
  </sheetViews>
  <sheetFormatPr defaultColWidth="10.58203125" defaultRowHeight="15" zeroHeight="false" outlineLevelRow="0" outlineLevelCol="0"/>
  <cols>
    <col collapsed="false" customWidth="true" hidden="false" outlineLevel="0" max="1" min="1" style="0" width="2.58"/>
    <col collapsed="false" customWidth="true" hidden="false" outlineLevel="0" max="3" min="3" style="0" width="15.71"/>
    <col collapsed="false" customWidth="true" hidden="false" outlineLevel="0" max="6" min="5" style="21" width="11.86"/>
    <col collapsed="false" customWidth="true" hidden="false" outlineLevel="0" max="12" min="7" style="21" width="11"/>
    <col collapsed="false" customWidth="true" hidden="false" outlineLevel="0" max="14" min="14" style="0" width="11.42"/>
  </cols>
  <sheetData>
    <row r="2" customFormat="false" ht="15" hidden="false" customHeight="false" outlineLevel="0" collapsed="false">
      <c r="B2" s="22" t="s">
        <v>20</v>
      </c>
      <c r="E2" s="23" t="s">
        <v>21</v>
      </c>
      <c r="N2" s="22" t="s">
        <v>22</v>
      </c>
    </row>
    <row r="3" customFormat="false" ht="15" hidden="false" customHeight="false" outlineLevel="0" collapsed="false">
      <c r="B3" s="24" t="s">
        <v>23</v>
      </c>
      <c r="C3" s="25" t="s">
        <v>24</v>
      </c>
      <c r="E3" s="17" t="s">
        <v>25</v>
      </c>
      <c r="F3" s="17" t="s">
        <v>26</v>
      </c>
      <c r="G3" s="17" t="s">
        <v>27</v>
      </c>
      <c r="H3" s="17" t="s">
        <v>28</v>
      </c>
      <c r="I3" s="17" t="s">
        <v>29</v>
      </c>
      <c r="J3" s="17" t="s">
        <v>30</v>
      </c>
      <c r="K3" s="17" t="s">
        <v>31</v>
      </c>
      <c r="L3" s="17" t="s">
        <v>32</v>
      </c>
      <c r="N3" s="17" t="s">
        <v>25</v>
      </c>
      <c r="O3" s="17" t="s">
        <v>26</v>
      </c>
      <c r="P3" s="17" t="s">
        <v>27</v>
      </c>
      <c r="Q3" s="17" t="s">
        <v>28</v>
      </c>
      <c r="R3" s="17" t="s">
        <v>29</v>
      </c>
      <c r="S3" s="17" t="s">
        <v>7</v>
      </c>
      <c r="T3" s="17" t="s">
        <v>31</v>
      </c>
      <c r="U3" s="17" t="s">
        <v>32</v>
      </c>
    </row>
    <row r="4" customFormat="false" ht="15" hidden="false" customHeight="false" outlineLevel="0" collapsed="false">
      <c r="B4" s="24" t="s">
        <v>33</v>
      </c>
      <c r="C4" s="25" t="n">
        <f aca="false">28*13*5</f>
        <v>1820</v>
      </c>
      <c r="E4" s="26" t="n">
        <f aca="true">+TODAY()</f>
        <v>44466</v>
      </c>
      <c r="F4" s="26" t="n">
        <f aca="false">+E4+28</f>
        <v>44494</v>
      </c>
      <c r="G4" s="27" t="n">
        <f aca="false">+F4-$E$4</f>
        <v>28</v>
      </c>
      <c r="H4" s="27" t="n">
        <f aca="false">+$C$12</f>
        <v>7.22</v>
      </c>
      <c r="I4" s="28" t="n">
        <f aca="false">+$C$5*H4%*28/360</f>
        <v>561555.555555556</v>
      </c>
      <c r="J4" s="29" t="n">
        <f aca="false">+INTERPLIN(G4,Hoja1!$B$18:$B$147,Hoja1!$F$18:$F$147)</f>
        <v>8.81692922419504</v>
      </c>
      <c r="K4" s="30" t="n">
        <f aca="false">+(1+J4%)^(-G4/360)</f>
        <v>0.993449579812221</v>
      </c>
      <c r="L4" s="28" t="n">
        <f aca="false">+K4*I4</f>
        <v>557877.130707885</v>
      </c>
      <c r="N4" s="26" t="n">
        <f aca="true">+TODAY()</f>
        <v>44466</v>
      </c>
      <c r="O4" s="26" t="n">
        <f aca="false">+N4+28</f>
        <v>44494</v>
      </c>
      <c r="P4" s="27" t="n">
        <f aca="false">+O4-$E$4</f>
        <v>28</v>
      </c>
      <c r="Q4" s="27" t="n">
        <f aca="false">100*(1/T4-1)*360/28+$C$17%</f>
        <v>8.47750000000001</v>
      </c>
      <c r="R4" s="28" t="n">
        <f aca="false">+$C$5*Q4%*28/360</f>
        <v>659361.111111112</v>
      </c>
      <c r="S4" s="29" t="n">
        <f aca="false">+INTERPLIN(P4,Hoja1!$B$18:$B$147,Hoja1!$F$18:$F$147)</f>
        <v>8.81692922419504</v>
      </c>
      <c r="T4" s="30" t="n">
        <f aca="false">+(1+S4%)^(-P4/360)</f>
        <v>0.993449579812221</v>
      </c>
      <c r="U4" s="28" t="n">
        <f aca="false">+T4*R4</f>
        <v>655042.018777854</v>
      </c>
    </row>
    <row r="5" customFormat="false" ht="15" hidden="false" customHeight="false" outlineLevel="0" collapsed="false">
      <c r="B5" s="24" t="s">
        <v>34</v>
      </c>
      <c r="C5" s="25" t="n">
        <v>100000000</v>
      </c>
      <c r="E5" s="26" t="n">
        <f aca="false">+F4</f>
        <v>44494</v>
      </c>
      <c r="F5" s="26" t="n">
        <f aca="false">+E5+28</f>
        <v>44522</v>
      </c>
      <c r="G5" s="27" t="n">
        <f aca="false">+F5-$E$4</f>
        <v>56</v>
      </c>
      <c r="H5" s="27" t="n">
        <f aca="false">+$C$12</f>
        <v>7.22</v>
      </c>
      <c r="I5" s="28" t="n">
        <f aca="false">+$C$5*H5%*28/360</f>
        <v>561555.555555556</v>
      </c>
      <c r="J5" s="29" t="n">
        <f aca="false">+INTERPLIN(G5,Hoja1!$B$18:$B$147,Hoja1!$F$18:$F$147)</f>
        <v>8.75322732473549</v>
      </c>
      <c r="K5" s="30" t="n">
        <f aca="false">+(1+J5%)^(-G5/360)</f>
        <v>0.987031971839911</v>
      </c>
      <c r="L5" s="28" t="n">
        <f aca="false">+K5*I5</f>
        <v>554273.287297657</v>
      </c>
      <c r="N5" s="26" t="n">
        <f aca="false">+O4</f>
        <v>44494</v>
      </c>
      <c r="O5" s="26" t="n">
        <f aca="false">+N5+28</f>
        <v>44522</v>
      </c>
      <c r="P5" s="27" t="n">
        <f aca="false">+O5-$E$4</f>
        <v>56</v>
      </c>
      <c r="Q5" s="27" t="n">
        <f aca="false">100*(T4/T5-1)*360/28+$C$17%</f>
        <v>8.35961801189909</v>
      </c>
      <c r="R5" s="28" t="n">
        <f aca="false">+$C$5*Q5%*28/360</f>
        <v>650192.512036596</v>
      </c>
      <c r="S5" s="29" t="n">
        <f aca="false">+INTERPLIN(P5,Hoja1!$B$18:$B$147,Hoja1!$F$18:$F$147)</f>
        <v>8.75322732473549</v>
      </c>
      <c r="T5" s="30" t="n">
        <f aca="false">+(1+S5%)^(-P5/360)</f>
        <v>0.987031971839911</v>
      </c>
      <c r="U5" s="28" t="n">
        <f aca="false">+T5*R5</f>
        <v>641760.797231027</v>
      </c>
    </row>
    <row r="6" customFormat="false" ht="15" hidden="false" customHeight="false" outlineLevel="0" collapsed="false">
      <c r="B6" s="24" t="s">
        <v>35</v>
      </c>
      <c r="C6" s="25" t="s">
        <v>36</v>
      </c>
      <c r="E6" s="26" t="n">
        <f aca="false">+F5</f>
        <v>44522</v>
      </c>
      <c r="F6" s="26" t="n">
        <f aca="false">+E6+28</f>
        <v>44550</v>
      </c>
      <c r="G6" s="27" t="n">
        <f aca="false">+F6-$E$4</f>
        <v>84</v>
      </c>
      <c r="H6" s="27" t="n">
        <f aca="false">+$C$12</f>
        <v>7.22</v>
      </c>
      <c r="I6" s="28" t="n">
        <f aca="false">+$C$5*H6%*28/360</f>
        <v>561555.555555556</v>
      </c>
      <c r="J6" s="29" t="n">
        <f aca="false">+INTERPLIN(G6,Hoja1!$B$18:$B$147,Hoja1!$F$18:$F$147)</f>
        <v>0</v>
      </c>
      <c r="K6" s="30" t="n">
        <f aca="false">+(1+J6%)^(-G6/360)</f>
        <v>1</v>
      </c>
      <c r="L6" s="28" t="n">
        <f aca="false">+K6*I6</f>
        <v>561555.555555556</v>
      </c>
      <c r="N6" s="26" t="n">
        <f aca="false">+O5</f>
        <v>44522</v>
      </c>
      <c r="O6" s="26" t="n">
        <f aca="false">+N6+28</f>
        <v>44550</v>
      </c>
      <c r="P6" s="27" t="n">
        <f aca="false">+O6-$E$4</f>
        <v>84</v>
      </c>
      <c r="Q6" s="27" t="n">
        <f aca="false">100*(T5/T6-1)*360/28+$C$17%</f>
        <v>-16.6731790629712</v>
      </c>
      <c r="R6" s="28" t="n">
        <f aca="false">+$C$5*Q6%*28/360</f>
        <v>-1296802.81600887</v>
      </c>
      <c r="S6" s="29" t="n">
        <f aca="false">+INTERPLIN(P6,Hoja1!$B$18:$B$147,Hoja1!$F$18:$F$147)</f>
        <v>0</v>
      </c>
      <c r="T6" s="30" t="n">
        <f aca="false">+(1+S6%)^(-P6/360)</f>
        <v>1</v>
      </c>
      <c r="U6" s="28" t="n">
        <f aca="false">+T6*R6</f>
        <v>-1296802.81600887</v>
      </c>
    </row>
    <row r="7" customFormat="false" ht="15" hidden="false" customHeight="false" outlineLevel="0" collapsed="false">
      <c r="B7" s="24" t="s">
        <v>37</v>
      </c>
      <c r="C7" s="31" t="e">
        <f aca="false">+IF(C6="Payer",C18-C13,C13-C18)</f>
        <v>#VALUE!</v>
      </c>
      <c r="E7" s="26" t="n">
        <f aca="false">+F6</f>
        <v>44550</v>
      </c>
      <c r="F7" s="26" t="n">
        <f aca="false">+E7+28</f>
        <v>44578</v>
      </c>
      <c r="G7" s="27" t="n">
        <f aca="false">+F7-$E$4</f>
        <v>112</v>
      </c>
      <c r="H7" s="27" t="n">
        <f aca="false">+$C$12</f>
        <v>7.22</v>
      </c>
      <c r="I7" s="28" t="n">
        <f aca="false">+$C$5*H7%*28/360</f>
        <v>561555.555555556</v>
      </c>
      <c r="J7" s="29" t="n">
        <f aca="false">+INTERPLIN(G7,Hoja1!$B$18:$B$147,Hoja1!$F$18:$F$147)</f>
        <v>0</v>
      </c>
      <c r="K7" s="30" t="n">
        <f aca="false">+(1+J7%)^(-G7/360)</f>
        <v>1</v>
      </c>
      <c r="L7" s="28" t="n">
        <f aca="false">+K7*I7</f>
        <v>561555.555555556</v>
      </c>
      <c r="N7" s="26" t="n">
        <f aca="false">+O6</f>
        <v>44550</v>
      </c>
      <c r="O7" s="26" t="n">
        <f aca="false">+N7+28</f>
        <v>44578</v>
      </c>
      <c r="P7" s="27" t="n">
        <f aca="false">+O7-$E$4</f>
        <v>112</v>
      </c>
      <c r="Q7" s="27" t="n">
        <f aca="false">100*(T6/T7-1)*360/28+$C$17%</f>
        <v>0</v>
      </c>
      <c r="R7" s="28" t="n">
        <f aca="false">+$C$5*Q7%*28/360</f>
        <v>0</v>
      </c>
      <c r="S7" s="29" t="n">
        <f aca="false">+INTERPLIN(P7,Hoja1!$B$18:$B$147,Hoja1!$F$18:$F$147)</f>
        <v>0</v>
      </c>
      <c r="T7" s="30" t="n">
        <f aca="false">+(1+S7%)^(-P7/360)</f>
        <v>1</v>
      </c>
      <c r="U7" s="28" t="n">
        <f aca="false">+T7*R7</f>
        <v>0</v>
      </c>
    </row>
    <row r="8" customFormat="false" ht="15" hidden="false" customHeight="false" outlineLevel="0" collapsed="false">
      <c r="E8" s="26" t="n">
        <f aca="false">+F7</f>
        <v>44578</v>
      </c>
      <c r="F8" s="26" t="n">
        <f aca="false">+E8+28</f>
        <v>44606</v>
      </c>
      <c r="G8" s="27" t="n">
        <f aca="false">+F8-$E$4</f>
        <v>140</v>
      </c>
      <c r="H8" s="27" t="n">
        <f aca="false">+$C$12</f>
        <v>7.22</v>
      </c>
      <c r="I8" s="28" t="n">
        <f aca="false">+$C$5*H8%*28/360</f>
        <v>561555.555555556</v>
      </c>
      <c r="J8" s="29" t="n">
        <f aca="false">+INTERPLIN(G8,Hoja1!$B$18:$B$147,Hoja1!$F$18:$F$147)</f>
        <v>0</v>
      </c>
      <c r="K8" s="30" t="n">
        <f aca="false">+(1+J8%)^(-G8/360)</f>
        <v>1</v>
      </c>
      <c r="L8" s="28" t="n">
        <f aca="false">+K8*I8</f>
        <v>561555.555555556</v>
      </c>
      <c r="N8" s="26" t="n">
        <f aca="false">+O7</f>
        <v>44578</v>
      </c>
      <c r="O8" s="26" t="n">
        <f aca="false">+N8+28</f>
        <v>44606</v>
      </c>
      <c r="P8" s="27" t="n">
        <f aca="false">+O8-$E$4</f>
        <v>140</v>
      </c>
      <c r="Q8" s="27" t="n">
        <f aca="false">100*(T7/T8-1)*360/28+$C$17%</f>
        <v>0</v>
      </c>
      <c r="R8" s="28" t="n">
        <f aca="false">+$C$5*Q8%*28/360</f>
        <v>0</v>
      </c>
      <c r="S8" s="29" t="n">
        <f aca="false">+INTERPLIN(P8,Hoja1!$B$18:$B$147,Hoja1!$F$18:$F$147)</f>
        <v>0</v>
      </c>
      <c r="T8" s="30" t="n">
        <f aca="false">+(1+S8%)^(-P8/360)</f>
        <v>1</v>
      </c>
      <c r="U8" s="28" t="n">
        <f aca="false">+T8*R8</f>
        <v>0</v>
      </c>
    </row>
    <row r="9" customFormat="false" ht="15" hidden="false" customHeight="false" outlineLevel="0" collapsed="false">
      <c r="E9" s="26" t="n">
        <f aca="false">+F8</f>
        <v>44606</v>
      </c>
      <c r="F9" s="26" t="n">
        <f aca="false">+E9+28</f>
        <v>44634</v>
      </c>
      <c r="G9" s="27" t="n">
        <f aca="false">+F9-$E$4</f>
        <v>168</v>
      </c>
      <c r="H9" s="27" t="n">
        <f aca="false">+$C$12</f>
        <v>7.22</v>
      </c>
      <c r="I9" s="28" t="n">
        <f aca="false">+$C$5*H9%*28/360</f>
        <v>561555.555555556</v>
      </c>
      <c r="J9" s="29" t="n">
        <f aca="false">+INTERPLIN(G9,Hoja1!$B$18:$B$147,Hoja1!$F$18:$F$147)</f>
        <v>0</v>
      </c>
      <c r="K9" s="30" t="n">
        <f aca="false">+(1+J9%)^(-G9/360)</f>
        <v>1</v>
      </c>
      <c r="L9" s="28" t="n">
        <f aca="false">+K9*I9</f>
        <v>561555.555555556</v>
      </c>
      <c r="N9" s="26" t="n">
        <f aca="false">+O8</f>
        <v>44606</v>
      </c>
      <c r="O9" s="26" t="n">
        <f aca="false">+N9+28</f>
        <v>44634</v>
      </c>
      <c r="P9" s="27" t="n">
        <f aca="false">+O9-$E$4</f>
        <v>168</v>
      </c>
      <c r="Q9" s="27" t="n">
        <f aca="false">100*(T8/T9-1)*360/28+$C$17%</f>
        <v>0</v>
      </c>
      <c r="R9" s="28" t="n">
        <f aca="false">+$C$5*Q9%*28/360</f>
        <v>0</v>
      </c>
      <c r="S9" s="29" t="n">
        <f aca="false">+INTERPLIN(P9,Hoja1!$B$18:$B$147,Hoja1!$F$18:$F$147)</f>
        <v>0</v>
      </c>
      <c r="T9" s="30" t="n">
        <f aca="false">+(1+S9%)^(-P9/360)</f>
        <v>1</v>
      </c>
      <c r="U9" s="28" t="n">
        <f aca="false">+T9*R9</f>
        <v>0</v>
      </c>
    </row>
    <row r="10" customFormat="false" ht="15" hidden="false" customHeight="false" outlineLevel="0" collapsed="false">
      <c r="E10" s="26" t="n">
        <f aca="false">+F9</f>
        <v>44634</v>
      </c>
      <c r="F10" s="26" t="n">
        <f aca="false">+E10+28</f>
        <v>44662</v>
      </c>
      <c r="G10" s="27" t="n">
        <f aca="false">+F10-$E$4</f>
        <v>196</v>
      </c>
      <c r="H10" s="27" t="n">
        <f aca="false">+$C$12</f>
        <v>7.22</v>
      </c>
      <c r="I10" s="28" t="n">
        <f aca="false">+$C$5*H10%*28/360</f>
        <v>561555.555555556</v>
      </c>
      <c r="J10" s="29" t="n">
        <f aca="false">+INTERPLIN(G10,Hoja1!$B$18:$B$147,Hoja1!$F$18:$F$147)</f>
        <v>0</v>
      </c>
      <c r="K10" s="30" t="n">
        <f aca="false">+(1+J10%)^(-G10/360)</f>
        <v>1</v>
      </c>
      <c r="L10" s="28" t="n">
        <f aca="false">+K10*I10</f>
        <v>561555.555555556</v>
      </c>
      <c r="N10" s="26" t="n">
        <f aca="false">+O9</f>
        <v>44634</v>
      </c>
      <c r="O10" s="26" t="n">
        <f aca="false">+N10+28</f>
        <v>44662</v>
      </c>
      <c r="P10" s="27" t="n">
        <f aca="false">+O10-$E$4</f>
        <v>196</v>
      </c>
      <c r="Q10" s="27" t="n">
        <f aca="false">100*(T9/T10-1)*360/28+$C$17%</f>
        <v>0</v>
      </c>
      <c r="R10" s="28" t="n">
        <f aca="false">+$C$5*Q10%*28/360</f>
        <v>0</v>
      </c>
      <c r="S10" s="29" t="n">
        <f aca="false">+INTERPLIN(P10,Hoja1!$B$18:$B$147,Hoja1!$F$18:$F$147)</f>
        <v>0</v>
      </c>
      <c r="T10" s="30" t="n">
        <f aca="false">+(1+S10%)^(-P10/360)</f>
        <v>1</v>
      </c>
      <c r="U10" s="28" t="n">
        <f aca="false">+T10*R10</f>
        <v>0</v>
      </c>
    </row>
    <row r="11" customFormat="false" ht="15" hidden="false" customHeight="false" outlineLevel="0" collapsed="false">
      <c r="B11" s="22" t="s">
        <v>21</v>
      </c>
      <c r="E11" s="26" t="n">
        <f aca="false">+F10</f>
        <v>44662</v>
      </c>
      <c r="F11" s="26" t="n">
        <f aca="false">+E11+28</f>
        <v>44690</v>
      </c>
      <c r="G11" s="27" t="n">
        <f aca="false">+F11-$E$4</f>
        <v>224</v>
      </c>
      <c r="H11" s="27" t="n">
        <f aca="false">+$C$12</f>
        <v>7.22</v>
      </c>
      <c r="I11" s="28" t="n">
        <f aca="false">+$C$5*H11%*28/360</f>
        <v>561555.555555556</v>
      </c>
      <c r="J11" s="29" t="n">
        <f aca="false">+INTERPLIN(G11,Hoja1!$B$18:$B$147,Hoja1!$F$18:$F$147)</f>
        <v>0</v>
      </c>
      <c r="K11" s="30" t="n">
        <f aca="false">+(1+J11%)^(-G11/360)</f>
        <v>1</v>
      </c>
      <c r="L11" s="28" t="n">
        <f aca="false">+K11*I11</f>
        <v>561555.555555556</v>
      </c>
      <c r="N11" s="26" t="n">
        <f aca="false">+O10</f>
        <v>44662</v>
      </c>
      <c r="O11" s="26" t="n">
        <f aca="false">+N11+28</f>
        <v>44690</v>
      </c>
      <c r="P11" s="27" t="n">
        <f aca="false">+O11-$E$4</f>
        <v>224</v>
      </c>
      <c r="Q11" s="27" t="n">
        <f aca="false">100*(T10/T11-1)*360/28+$C$17%</f>
        <v>0</v>
      </c>
      <c r="R11" s="28" t="n">
        <f aca="false">+$C$5*Q11%*28/360</f>
        <v>0</v>
      </c>
      <c r="S11" s="29" t="n">
        <f aca="false">+INTERPLIN(P11,Hoja1!$B$18:$B$147,Hoja1!$F$18:$F$147)</f>
        <v>0</v>
      </c>
      <c r="T11" s="30" t="n">
        <f aca="false">+(1+S11%)^(-P11/360)</f>
        <v>1</v>
      </c>
      <c r="U11" s="28" t="n">
        <f aca="false">+T11*R11</f>
        <v>0</v>
      </c>
    </row>
    <row r="12" customFormat="false" ht="15" hidden="false" customHeight="false" outlineLevel="0" collapsed="false">
      <c r="B12" s="24" t="s">
        <v>38</v>
      </c>
      <c r="C12" s="32" t="n">
        <v>7.22</v>
      </c>
      <c r="E12" s="26" t="n">
        <f aca="false">+F11</f>
        <v>44690</v>
      </c>
      <c r="F12" s="26" t="n">
        <f aca="false">+E12+28</f>
        <v>44718</v>
      </c>
      <c r="G12" s="27" t="n">
        <f aca="false">+F12-$E$4</f>
        <v>252</v>
      </c>
      <c r="H12" s="27" t="n">
        <f aca="false">+$C$12</f>
        <v>7.22</v>
      </c>
      <c r="I12" s="28" t="n">
        <f aca="false">+$C$5*H12%*28/360</f>
        <v>561555.555555556</v>
      </c>
      <c r="J12" s="29" t="n">
        <f aca="false">+INTERPLIN(G12,Hoja1!$B$18:$B$147,Hoja1!$F$18:$F$147)</f>
        <v>0</v>
      </c>
      <c r="K12" s="30" t="n">
        <f aca="false">+(1+J12%)^(-G12/360)</f>
        <v>1</v>
      </c>
      <c r="L12" s="28" t="n">
        <f aca="false">+K12*I12</f>
        <v>561555.555555556</v>
      </c>
      <c r="N12" s="26" t="n">
        <f aca="false">+O11</f>
        <v>44690</v>
      </c>
      <c r="O12" s="26" t="n">
        <f aca="false">+N12+28</f>
        <v>44718</v>
      </c>
      <c r="P12" s="27" t="n">
        <f aca="false">+O12-$E$4</f>
        <v>252</v>
      </c>
      <c r="Q12" s="27" t="n">
        <f aca="false">100*(T11/T12-1)*360/28+$C$17%</f>
        <v>0</v>
      </c>
      <c r="R12" s="28" t="n">
        <f aca="false">+$C$5*Q12%*28/360</f>
        <v>0</v>
      </c>
      <c r="S12" s="29" t="n">
        <f aca="false">+INTERPLIN(P12,Hoja1!$B$18:$B$147,Hoja1!$F$18:$F$147)</f>
        <v>0</v>
      </c>
      <c r="T12" s="30" t="n">
        <f aca="false">+(1+S12%)^(-P12/360)</f>
        <v>1</v>
      </c>
      <c r="U12" s="28" t="n">
        <f aca="false">+T12*R12</f>
        <v>0</v>
      </c>
    </row>
    <row r="13" customFormat="false" ht="15" hidden="false" customHeight="false" outlineLevel="0" collapsed="false">
      <c r="B13" s="24" t="s">
        <v>37</v>
      </c>
      <c r="C13" s="25" t="e">
        <f aca="false">+SUM(L4:L68)</f>
        <v>#VALUE!</v>
      </c>
      <c r="E13" s="26" t="n">
        <f aca="false">+F12</f>
        <v>44718</v>
      </c>
      <c r="F13" s="26" t="n">
        <f aca="false">+E13+28</f>
        <v>44746</v>
      </c>
      <c r="G13" s="27" t="n">
        <f aca="false">+F13-$E$4</f>
        <v>280</v>
      </c>
      <c r="H13" s="27" t="n">
        <f aca="false">+$C$12</f>
        <v>7.22</v>
      </c>
      <c r="I13" s="28" t="n">
        <f aca="false">+$C$5*H13%*28/360</f>
        <v>561555.555555556</v>
      </c>
      <c r="J13" s="29" t="n">
        <f aca="false">+INTERPLIN(G13,Hoja1!$B$18:$B$147,Hoja1!$F$18:$F$147)</f>
        <v>0</v>
      </c>
      <c r="K13" s="30" t="n">
        <f aca="false">+(1+J13%)^(-G13/360)</f>
        <v>1</v>
      </c>
      <c r="L13" s="28" t="n">
        <f aca="false">+K13*I13</f>
        <v>561555.555555556</v>
      </c>
      <c r="N13" s="26" t="n">
        <f aca="false">+O12</f>
        <v>44718</v>
      </c>
      <c r="O13" s="26" t="n">
        <f aca="false">+N13+28</f>
        <v>44746</v>
      </c>
      <c r="P13" s="27" t="n">
        <f aca="false">+O13-$E$4</f>
        <v>280</v>
      </c>
      <c r="Q13" s="27" t="n">
        <f aca="false">100*(T12/T13-1)*360/28+$C$17%</f>
        <v>0</v>
      </c>
      <c r="R13" s="28" t="n">
        <f aca="false">+$C$5*Q13%*28/360</f>
        <v>0</v>
      </c>
      <c r="S13" s="29" t="n">
        <f aca="false">+INTERPLIN(P13,Hoja1!$B$18:$B$147,Hoja1!$F$18:$F$147)</f>
        <v>0</v>
      </c>
      <c r="T13" s="30" t="n">
        <f aca="false">+(1+S13%)^(-P13/360)</f>
        <v>1</v>
      </c>
      <c r="U13" s="28" t="n">
        <f aca="false">+T13*R13</f>
        <v>0</v>
      </c>
    </row>
    <row r="14" customFormat="false" ht="15" hidden="false" customHeight="false" outlineLevel="0" collapsed="false">
      <c r="E14" s="26" t="n">
        <f aca="false">+F13</f>
        <v>44746</v>
      </c>
      <c r="F14" s="26" t="n">
        <f aca="false">+E14+28</f>
        <v>44774</v>
      </c>
      <c r="G14" s="27" t="n">
        <f aca="false">+F14-$E$4</f>
        <v>308</v>
      </c>
      <c r="H14" s="27" t="n">
        <f aca="false">+$C$12</f>
        <v>7.22</v>
      </c>
      <c r="I14" s="28" t="n">
        <f aca="false">+$C$5*H14%*28/360</f>
        <v>561555.555555556</v>
      </c>
      <c r="J14" s="29" t="n">
        <f aca="false">+INTERPLIN(G14,Hoja1!$B$18:$B$147,Hoja1!$F$18:$F$147)</f>
        <v>0</v>
      </c>
      <c r="K14" s="30" t="n">
        <f aca="false">+(1+J14%)^(-G14/360)</f>
        <v>1</v>
      </c>
      <c r="L14" s="28" t="n">
        <f aca="false">+K14*I14</f>
        <v>561555.555555556</v>
      </c>
      <c r="N14" s="26" t="n">
        <f aca="false">+O13</f>
        <v>44746</v>
      </c>
      <c r="O14" s="26" t="n">
        <f aca="false">+N14+28</f>
        <v>44774</v>
      </c>
      <c r="P14" s="27" t="n">
        <f aca="false">+O14-$E$4</f>
        <v>308</v>
      </c>
      <c r="Q14" s="27" t="n">
        <f aca="false">100*(T13/T14-1)*360/28+$C$17%</f>
        <v>0</v>
      </c>
      <c r="R14" s="28" t="n">
        <f aca="false">+$C$5*Q14%*28/360</f>
        <v>0</v>
      </c>
      <c r="S14" s="29" t="n">
        <f aca="false">+INTERPLIN(P14,Hoja1!$B$18:$B$147,Hoja1!$F$18:$F$147)</f>
        <v>0</v>
      </c>
      <c r="T14" s="30" t="n">
        <f aca="false">+(1+S14%)^(-P14/360)</f>
        <v>1</v>
      </c>
      <c r="U14" s="28" t="n">
        <f aca="false">+T14*R14</f>
        <v>0</v>
      </c>
    </row>
    <row r="15" customFormat="false" ht="15" hidden="false" customHeight="false" outlineLevel="0" collapsed="false">
      <c r="E15" s="26" t="n">
        <f aca="false">+F14</f>
        <v>44774</v>
      </c>
      <c r="F15" s="26" t="n">
        <f aca="false">+E15+28</f>
        <v>44802</v>
      </c>
      <c r="G15" s="27" t="n">
        <f aca="false">+F15-$E$4</f>
        <v>336</v>
      </c>
      <c r="H15" s="27" t="n">
        <f aca="false">+$C$12</f>
        <v>7.22</v>
      </c>
      <c r="I15" s="28" t="n">
        <f aca="false">+$C$5*H15%*28/360</f>
        <v>561555.555555556</v>
      </c>
      <c r="J15" s="29" t="n">
        <f aca="false">+INTERPLIN(G15,Hoja1!$B$18:$B$147,Hoja1!$F$18:$F$147)</f>
        <v>0</v>
      </c>
      <c r="K15" s="30" t="n">
        <f aca="false">+(1+J15%)^(-G15/360)</f>
        <v>1</v>
      </c>
      <c r="L15" s="28" t="n">
        <f aca="false">+K15*I15</f>
        <v>561555.555555556</v>
      </c>
      <c r="N15" s="26" t="n">
        <f aca="false">+O14</f>
        <v>44774</v>
      </c>
      <c r="O15" s="26" t="n">
        <f aca="false">+N15+28</f>
        <v>44802</v>
      </c>
      <c r="P15" s="27" t="n">
        <f aca="false">+O15-$E$4</f>
        <v>336</v>
      </c>
      <c r="Q15" s="27" t="n">
        <f aca="false">100*(T14/T15-1)*360/28+$C$17%</f>
        <v>0</v>
      </c>
      <c r="R15" s="28" t="n">
        <f aca="false">+$C$5*Q15%*28/360</f>
        <v>0</v>
      </c>
      <c r="S15" s="29" t="n">
        <f aca="false">+INTERPLIN(P15,Hoja1!$B$18:$B$147,Hoja1!$F$18:$F$147)</f>
        <v>0</v>
      </c>
      <c r="T15" s="30" t="n">
        <f aca="false">+(1+S15%)^(-P15/360)</f>
        <v>1</v>
      </c>
      <c r="U15" s="28" t="n">
        <f aca="false">+T15*R15</f>
        <v>0</v>
      </c>
    </row>
    <row r="16" customFormat="false" ht="15" hidden="false" customHeight="false" outlineLevel="0" collapsed="false">
      <c r="B16" s="22" t="s">
        <v>22</v>
      </c>
      <c r="E16" s="26" t="n">
        <f aca="false">+F15</f>
        <v>44802</v>
      </c>
      <c r="F16" s="26" t="n">
        <f aca="false">+E16+28</f>
        <v>44830</v>
      </c>
      <c r="G16" s="27" t="n">
        <f aca="false">+F16-$E$4</f>
        <v>364</v>
      </c>
      <c r="H16" s="27" t="n">
        <f aca="false">+$C$12</f>
        <v>7.22</v>
      </c>
      <c r="I16" s="28" t="n">
        <f aca="false">+$C$5*H16%*28/360</f>
        <v>561555.555555556</v>
      </c>
      <c r="J16" s="29" t="n">
        <f aca="false">+INTERPLIN(G16,Hoja1!$B$18:$B$147,Hoja1!$F$18:$F$147)</f>
        <v>0</v>
      </c>
      <c r="K16" s="30" t="n">
        <f aca="false">+(1+J16%)^(-G16/360)</f>
        <v>1</v>
      </c>
      <c r="L16" s="28" t="n">
        <f aca="false">+K16*I16</f>
        <v>561555.555555556</v>
      </c>
      <c r="N16" s="26" t="n">
        <f aca="false">+O15</f>
        <v>44802</v>
      </c>
      <c r="O16" s="26" t="n">
        <f aca="false">+N16+28</f>
        <v>44830</v>
      </c>
      <c r="P16" s="27" t="n">
        <f aca="false">+O16-$E$4</f>
        <v>364</v>
      </c>
      <c r="Q16" s="27" t="n">
        <f aca="false">100*(T15/T16-1)*360/28+$C$17%</f>
        <v>0</v>
      </c>
      <c r="R16" s="28" t="n">
        <f aca="false">+$C$5*Q16%*28/360</f>
        <v>0</v>
      </c>
      <c r="S16" s="29" t="n">
        <f aca="false">+INTERPLIN(P16,Hoja1!$B$18:$B$147,Hoja1!$F$18:$F$147)</f>
        <v>0</v>
      </c>
      <c r="T16" s="30" t="n">
        <f aca="false">+(1+S16%)^(-P16/360)</f>
        <v>1</v>
      </c>
      <c r="U16" s="28" t="n">
        <f aca="false">+T16*R16</f>
        <v>0</v>
      </c>
    </row>
    <row r="17" customFormat="false" ht="15" hidden="false" customHeight="false" outlineLevel="0" collapsed="false">
      <c r="B17" s="24" t="s">
        <v>39</v>
      </c>
      <c r="C17" s="32" t="n">
        <v>0</v>
      </c>
      <c r="E17" s="26" t="n">
        <f aca="false">+F16</f>
        <v>44830</v>
      </c>
      <c r="F17" s="26" t="n">
        <f aca="false">+E17+28</f>
        <v>44858</v>
      </c>
      <c r="G17" s="27" t="n">
        <f aca="false">+F17-$E$4</f>
        <v>392</v>
      </c>
      <c r="H17" s="27" t="n">
        <f aca="false">+$C$12</f>
        <v>7.22</v>
      </c>
      <c r="I17" s="28" t="n">
        <f aca="false">+$C$5*H17%*28/360</f>
        <v>561555.555555556</v>
      </c>
      <c r="J17" s="29" t="n">
        <f aca="false">+INTERPLIN(G17,Hoja1!$B$18:$B$147,Hoja1!$F$18:$F$147)</f>
        <v>0</v>
      </c>
      <c r="K17" s="30" t="n">
        <f aca="false">+(1+J17%)^(-G17/360)</f>
        <v>1</v>
      </c>
      <c r="L17" s="28" t="n">
        <f aca="false">+K17*I17</f>
        <v>561555.555555556</v>
      </c>
      <c r="N17" s="26" t="n">
        <f aca="false">+O16</f>
        <v>44830</v>
      </c>
      <c r="O17" s="26" t="n">
        <f aca="false">+N17+28</f>
        <v>44858</v>
      </c>
      <c r="P17" s="27" t="n">
        <f aca="false">+O17-$E$4</f>
        <v>392</v>
      </c>
      <c r="Q17" s="27" t="n">
        <f aca="false">100*(T16/T17-1)*360/28+$C$17%</f>
        <v>0</v>
      </c>
      <c r="R17" s="28" t="n">
        <f aca="false">+$C$5*Q17%*28/360</f>
        <v>0</v>
      </c>
      <c r="S17" s="29" t="n">
        <f aca="false">+INTERPLIN(P17,Hoja1!$B$18:$B$147,Hoja1!$F$18:$F$147)</f>
        <v>0</v>
      </c>
      <c r="T17" s="30" t="n">
        <f aca="false">+(1+S17%)^(-P17/360)</f>
        <v>1</v>
      </c>
      <c r="U17" s="28" t="n">
        <f aca="false">+T17*R17</f>
        <v>0</v>
      </c>
    </row>
    <row r="18" customFormat="false" ht="15" hidden="false" customHeight="false" outlineLevel="0" collapsed="false">
      <c r="B18" s="24" t="s">
        <v>37</v>
      </c>
      <c r="C18" s="25" t="e">
        <f aca="false">+SUM(U4:U68)</f>
        <v>#VALUE!</v>
      </c>
      <c r="E18" s="26" t="n">
        <f aca="false">+F17</f>
        <v>44858</v>
      </c>
      <c r="F18" s="26" t="n">
        <f aca="false">+E18+28</f>
        <v>44886</v>
      </c>
      <c r="G18" s="27" t="n">
        <f aca="false">+F18-$E$4</f>
        <v>420</v>
      </c>
      <c r="H18" s="27" t="n">
        <f aca="false">+$C$12</f>
        <v>7.22</v>
      </c>
      <c r="I18" s="28" t="n">
        <f aca="false">+$C$5*H18%*28/360</f>
        <v>561555.555555556</v>
      </c>
      <c r="J18" s="29" t="n">
        <f aca="false">+INTERPLIN(G18,Hoja1!$B$18:$B$147,Hoja1!$F$18:$F$147)</f>
        <v>0</v>
      </c>
      <c r="K18" s="30" t="n">
        <f aca="false">+(1+J18%)^(-G18/360)</f>
        <v>1</v>
      </c>
      <c r="L18" s="28" t="n">
        <f aca="false">+K18*I18</f>
        <v>561555.555555556</v>
      </c>
      <c r="N18" s="26" t="n">
        <f aca="false">+O17</f>
        <v>44858</v>
      </c>
      <c r="O18" s="26" t="n">
        <f aca="false">+N18+28</f>
        <v>44886</v>
      </c>
      <c r="P18" s="27" t="n">
        <f aca="false">+O18-$E$4</f>
        <v>420</v>
      </c>
      <c r="Q18" s="27" t="n">
        <f aca="false">100*(T17/T18-1)*360/28+$C$17%</f>
        <v>0</v>
      </c>
      <c r="R18" s="28" t="n">
        <f aca="false">+$C$5*Q18%*28/360</f>
        <v>0</v>
      </c>
      <c r="S18" s="29" t="n">
        <f aca="false">+INTERPLIN(P18,Hoja1!$B$18:$B$147,Hoja1!$F$18:$F$147)</f>
        <v>0</v>
      </c>
      <c r="T18" s="30" t="n">
        <f aca="false">+(1+S18%)^(-P18/360)</f>
        <v>1</v>
      </c>
      <c r="U18" s="28" t="n">
        <f aca="false">+T18*R18</f>
        <v>0</v>
      </c>
    </row>
    <row r="19" customFormat="false" ht="15" hidden="false" customHeight="false" outlineLevel="0" collapsed="false">
      <c r="E19" s="26" t="n">
        <f aca="false">+F18</f>
        <v>44886</v>
      </c>
      <c r="F19" s="26" t="n">
        <f aca="false">+E19+28</f>
        <v>44914</v>
      </c>
      <c r="G19" s="27" t="n">
        <f aca="false">+F19-$E$4</f>
        <v>448</v>
      </c>
      <c r="H19" s="27" t="n">
        <f aca="false">+$C$12</f>
        <v>7.22</v>
      </c>
      <c r="I19" s="28" t="n">
        <f aca="false">+$C$5*H19%*28/360</f>
        <v>561555.555555556</v>
      </c>
      <c r="J19" s="29" t="n">
        <f aca="false">+INTERPLIN(G19,Hoja1!$B$18:$B$147,Hoja1!$F$18:$F$147)</f>
        <v>0</v>
      </c>
      <c r="K19" s="30" t="n">
        <f aca="false">+(1+J19%)^(-G19/360)</f>
        <v>1</v>
      </c>
      <c r="L19" s="28" t="n">
        <f aca="false">+K19*I19</f>
        <v>561555.555555556</v>
      </c>
      <c r="N19" s="26" t="n">
        <f aca="false">+O18</f>
        <v>44886</v>
      </c>
      <c r="O19" s="26" t="n">
        <f aca="false">+N19+28</f>
        <v>44914</v>
      </c>
      <c r="P19" s="27" t="n">
        <f aca="false">+O19-$E$4</f>
        <v>448</v>
      </c>
      <c r="Q19" s="27" t="n">
        <f aca="false">100*(T18/T19-1)*360/28+$C$17%</f>
        <v>0</v>
      </c>
      <c r="R19" s="28" t="n">
        <f aca="false">+$C$5*Q19%*28/360</f>
        <v>0</v>
      </c>
      <c r="S19" s="29" t="n">
        <f aca="false">+INTERPLIN(P19,Hoja1!$B$18:$B$147,Hoja1!$F$18:$F$147)</f>
        <v>0</v>
      </c>
      <c r="T19" s="30" t="n">
        <f aca="false">+(1+S19%)^(-P19/360)</f>
        <v>1</v>
      </c>
      <c r="U19" s="28" t="n">
        <f aca="false">+T19*R19</f>
        <v>0</v>
      </c>
    </row>
    <row r="20" customFormat="false" ht="15" hidden="false" customHeight="false" outlineLevel="0" collapsed="false">
      <c r="E20" s="26" t="n">
        <f aca="false">+F19</f>
        <v>44914</v>
      </c>
      <c r="F20" s="26" t="n">
        <f aca="false">+E20+28</f>
        <v>44942</v>
      </c>
      <c r="G20" s="27" t="n">
        <f aca="false">+F20-$E$4</f>
        <v>476</v>
      </c>
      <c r="H20" s="27" t="n">
        <f aca="false">+$C$12</f>
        <v>7.22</v>
      </c>
      <c r="I20" s="28" t="n">
        <f aca="false">+$C$5*H20%*28/360</f>
        <v>561555.555555556</v>
      </c>
      <c r="J20" s="29" t="n">
        <f aca="false">+INTERPLIN(G20,Hoja1!$B$18:$B$147,Hoja1!$F$18:$F$147)</f>
        <v>0</v>
      </c>
      <c r="K20" s="30" t="n">
        <f aca="false">+(1+J20%)^(-G20/360)</f>
        <v>1</v>
      </c>
      <c r="L20" s="28" t="n">
        <f aca="false">+K20*I20</f>
        <v>561555.555555556</v>
      </c>
      <c r="N20" s="26" t="n">
        <f aca="false">+O19</f>
        <v>44914</v>
      </c>
      <c r="O20" s="26" t="n">
        <f aca="false">+N20+28</f>
        <v>44942</v>
      </c>
      <c r="P20" s="27" t="n">
        <f aca="false">+O20-$E$4</f>
        <v>476</v>
      </c>
      <c r="Q20" s="27" t="n">
        <f aca="false">100*(T19/T20-1)*360/28+$C$17%</f>
        <v>0</v>
      </c>
      <c r="R20" s="28" t="n">
        <f aca="false">+$C$5*Q20%*28/360</f>
        <v>0</v>
      </c>
      <c r="S20" s="29" t="n">
        <f aca="false">+INTERPLIN(P20,Hoja1!$B$18:$B$147,Hoja1!$F$18:$F$147)</f>
        <v>0</v>
      </c>
      <c r="T20" s="30" t="n">
        <f aca="false">+(1+S20%)^(-P20/360)</f>
        <v>1</v>
      </c>
      <c r="U20" s="28" t="n">
        <f aca="false">+T20*R20</f>
        <v>0</v>
      </c>
    </row>
    <row r="21" customFormat="false" ht="15" hidden="false" customHeight="false" outlineLevel="0" collapsed="false">
      <c r="E21" s="26" t="n">
        <f aca="false">+F20</f>
        <v>44942</v>
      </c>
      <c r="F21" s="26" t="n">
        <f aca="false">+E21+28</f>
        <v>44970</v>
      </c>
      <c r="G21" s="27" t="n">
        <f aca="false">+F21-$E$4</f>
        <v>504</v>
      </c>
      <c r="H21" s="27" t="n">
        <f aca="false">+$C$12</f>
        <v>7.22</v>
      </c>
      <c r="I21" s="28" t="n">
        <f aca="false">+$C$5*H21%*28/360</f>
        <v>561555.555555556</v>
      </c>
      <c r="J21" s="29" t="n">
        <f aca="false">+INTERPLIN(G21,Hoja1!$B$18:$B$147,Hoja1!$F$18:$F$147)</f>
        <v>0</v>
      </c>
      <c r="K21" s="30" t="n">
        <f aca="false">+(1+J21%)^(-G21/360)</f>
        <v>1</v>
      </c>
      <c r="L21" s="28" t="n">
        <f aca="false">+K21*I21</f>
        <v>561555.555555556</v>
      </c>
      <c r="N21" s="26" t="n">
        <f aca="false">+O20</f>
        <v>44942</v>
      </c>
      <c r="O21" s="26" t="n">
        <f aca="false">+N21+28</f>
        <v>44970</v>
      </c>
      <c r="P21" s="27" t="n">
        <f aca="false">+O21-$E$4</f>
        <v>504</v>
      </c>
      <c r="Q21" s="27" t="n">
        <f aca="false">100*(T20/T21-1)*360/28+$C$17%</f>
        <v>0</v>
      </c>
      <c r="R21" s="28" t="n">
        <f aca="false">+$C$5*Q21%*28/360</f>
        <v>0</v>
      </c>
      <c r="S21" s="29" t="n">
        <f aca="false">+INTERPLIN(P21,Hoja1!$B$18:$B$147,Hoja1!$F$18:$F$147)</f>
        <v>0</v>
      </c>
      <c r="T21" s="30" t="n">
        <f aca="false">+(1+S21%)^(-P21/360)</f>
        <v>1</v>
      </c>
      <c r="U21" s="28" t="n">
        <f aca="false">+T21*R21</f>
        <v>0</v>
      </c>
    </row>
    <row r="22" customFormat="false" ht="15" hidden="false" customHeight="false" outlineLevel="0" collapsed="false">
      <c r="E22" s="26" t="n">
        <f aca="false">+F21</f>
        <v>44970</v>
      </c>
      <c r="F22" s="26" t="n">
        <f aca="false">+E22+28</f>
        <v>44998</v>
      </c>
      <c r="G22" s="27" t="n">
        <f aca="false">+F22-$E$4</f>
        <v>532</v>
      </c>
      <c r="H22" s="27" t="n">
        <f aca="false">+$C$12</f>
        <v>7.22</v>
      </c>
      <c r="I22" s="28" t="n">
        <f aca="false">+$C$5*H22%*28/360</f>
        <v>561555.555555556</v>
      </c>
      <c r="J22" s="29" t="e">
        <f aca="false">+INTERPLIN(G22,Hoja1!$B$18:$B$147,Hoja1!$F$18:$F$147)</f>
        <v>#VALUE!</v>
      </c>
      <c r="K22" s="30" t="e">
        <f aca="false">+(1+J22%)^(-G22/360)</f>
        <v>#VALUE!</v>
      </c>
      <c r="L22" s="28" t="e">
        <f aca="false">+K22*I22</f>
        <v>#VALUE!</v>
      </c>
      <c r="N22" s="26" t="n">
        <f aca="false">+O21</f>
        <v>44970</v>
      </c>
      <c r="O22" s="26" t="n">
        <f aca="false">+N22+28</f>
        <v>44998</v>
      </c>
      <c r="P22" s="27" t="n">
        <f aca="false">+O22-$E$4</f>
        <v>532</v>
      </c>
      <c r="Q22" s="27" t="n">
        <f aca="false">100*(T21/T22-1)*360/28+$C$17%</f>
        <v>0</v>
      </c>
      <c r="R22" s="28" t="n">
        <f aca="false">+$C$5*Q22%*28/360</f>
        <v>0</v>
      </c>
      <c r="S22" s="29" t="n">
        <f aca="false">+INTERPLIN(P22,Hoja1!$B$18:$B$147,Hoja1!$F$18:$F$147)</f>
        <v>0</v>
      </c>
      <c r="T22" s="30" t="n">
        <f aca="false">+(1+S22%)^(-P22/360)</f>
        <v>1</v>
      </c>
      <c r="U22" s="28" t="n">
        <f aca="false">+T22*R22</f>
        <v>0</v>
      </c>
    </row>
    <row r="23" customFormat="false" ht="15" hidden="false" customHeight="false" outlineLevel="0" collapsed="false">
      <c r="B23" s="24" t="s">
        <v>40</v>
      </c>
      <c r="C23" s="32" t="n">
        <v>0</v>
      </c>
      <c r="E23" s="26" t="n">
        <f aca="false">+F22</f>
        <v>44998</v>
      </c>
      <c r="F23" s="26" t="n">
        <f aca="false">+E23+28</f>
        <v>45026</v>
      </c>
      <c r="G23" s="27" t="n">
        <f aca="false">+F23-$E$4</f>
        <v>560</v>
      </c>
      <c r="H23" s="27" t="n">
        <f aca="false">+$C$12</f>
        <v>7.22</v>
      </c>
      <c r="I23" s="28" t="n">
        <f aca="false">+$C$5*H23%*28/360</f>
        <v>561555.555555556</v>
      </c>
      <c r="J23" s="29" t="n">
        <f aca="false">+INTERPLIN(G23,Hoja1!$B$18:$B$147,Hoja1!$F$18:$F$147)</f>
        <v>0</v>
      </c>
      <c r="K23" s="30" t="n">
        <f aca="false">+(1+J23%)^(-G23/360)</f>
        <v>1</v>
      </c>
      <c r="L23" s="28" t="n">
        <f aca="false">+K23*I23</f>
        <v>561555.555555556</v>
      </c>
      <c r="N23" s="26" t="n">
        <f aca="false">+O22</f>
        <v>44998</v>
      </c>
      <c r="O23" s="26" t="n">
        <f aca="false">+N23+28</f>
        <v>45026</v>
      </c>
      <c r="P23" s="27" t="n">
        <f aca="false">+O23-$E$4</f>
        <v>560</v>
      </c>
      <c r="Q23" s="27" t="n">
        <f aca="false">100*(T22/T23-1)*360/28+$C$17%</f>
        <v>0</v>
      </c>
      <c r="R23" s="28" t="n">
        <f aca="false">+$C$5*Q23%*28/360</f>
        <v>0</v>
      </c>
      <c r="S23" s="29" t="n">
        <f aca="false">+INTERPLIN(P23,Hoja1!$B$18:$B$147,Hoja1!$F$18:$F$147)</f>
        <v>0</v>
      </c>
      <c r="T23" s="30" t="n">
        <f aca="false">+(1+S23%)^(-P23/360)</f>
        <v>1</v>
      </c>
      <c r="U23" s="28" t="n">
        <f aca="false">+T23*R23</f>
        <v>0</v>
      </c>
    </row>
    <row r="24" customFormat="false" ht="15" hidden="false" customHeight="false" outlineLevel="0" collapsed="false">
      <c r="B24" s="24" t="s">
        <v>41</v>
      </c>
      <c r="C24" s="25" t="e">
        <f aca="false">+C7-C23</f>
        <v>#VALUE!</v>
      </c>
      <c r="E24" s="26" t="n">
        <f aca="false">+F23</f>
        <v>45026</v>
      </c>
      <c r="F24" s="26" t="n">
        <f aca="false">+E24+28</f>
        <v>45054</v>
      </c>
      <c r="G24" s="27" t="n">
        <f aca="false">+F24-$E$4</f>
        <v>588</v>
      </c>
      <c r="H24" s="27" t="n">
        <f aca="false">+$C$12</f>
        <v>7.22</v>
      </c>
      <c r="I24" s="28" t="n">
        <f aca="false">+$C$5*H24%*28/360</f>
        <v>561555.555555556</v>
      </c>
      <c r="J24" s="29" t="n">
        <f aca="false">+INTERPLIN(G24,Hoja1!$B$18:$B$147,Hoja1!$F$18:$F$147)</f>
        <v>0</v>
      </c>
      <c r="K24" s="30" t="n">
        <f aca="false">+(1+J24%)^(-G24/360)</f>
        <v>1</v>
      </c>
      <c r="L24" s="28" t="n">
        <f aca="false">+K24*I24</f>
        <v>561555.555555556</v>
      </c>
      <c r="N24" s="26" t="n">
        <f aca="false">+O23</f>
        <v>45026</v>
      </c>
      <c r="O24" s="26" t="n">
        <f aca="false">+N24+28</f>
        <v>45054</v>
      </c>
      <c r="P24" s="27" t="n">
        <f aca="false">+O24-$E$4</f>
        <v>588</v>
      </c>
      <c r="Q24" s="27" t="n">
        <f aca="false">100*(T23/T24-1)*360/28+$C$17%</f>
        <v>0</v>
      </c>
      <c r="R24" s="28" t="n">
        <f aca="false">+$C$5*Q24%*28/360</f>
        <v>0</v>
      </c>
      <c r="S24" s="29" t="n">
        <f aca="false">+INTERPLIN(P24,Hoja1!$B$18:$B$147,Hoja1!$F$18:$F$147)</f>
        <v>0</v>
      </c>
      <c r="T24" s="30" t="n">
        <f aca="false">+(1+S24%)^(-P24/360)</f>
        <v>1</v>
      </c>
      <c r="U24" s="28" t="n">
        <f aca="false">+T24*R24</f>
        <v>0</v>
      </c>
    </row>
    <row r="25" customFormat="false" ht="15" hidden="false" customHeight="false" outlineLevel="0" collapsed="false">
      <c r="E25" s="26" t="n">
        <f aca="false">+F24</f>
        <v>45054</v>
      </c>
      <c r="F25" s="26" t="n">
        <f aca="false">+E25+28</f>
        <v>45082</v>
      </c>
      <c r="G25" s="27" t="n">
        <f aca="false">+F25-$E$4</f>
        <v>616</v>
      </c>
      <c r="H25" s="27" t="n">
        <f aca="false">+$C$12</f>
        <v>7.22</v>
      </c>
      <c r="I25" s="28" t="n">
        <f aca="false">+$C$5*H25%*28/360</f>
        <v>561555.555555556</v>
      </c>
      <c r="J25" s="29" t="n">
        <f aca="false">+INTERPLIN(G25,Hoja1!$B$18:$B$147,Hoja1!$F$18:$F$147)</f>
        <v>0</v>
      </c>
      <c r="K25" s="30" t="n">
        <f aca="false">+(1+J25%)^(-G25/360)</f>
        <v>1</v>
      </c>
      <c r="L25" s="28" t="n">
        <f aca="false">+K25*I25</f>
        <v>561555.555555556</v>
      </c>
      <c r="N25" s="26" t="n">
        <f aca="false">+O24</f>
        <v>45054</v>
      </c>
      <c r="O25" s="26" t="n">
        <f aca="false">+N25+28</f>
        <v>45082</v>
      </c>
      <c r="P25" s="27" t="n">
        <f aca="false">+O25-$E$4</f>
        <v>616</v>
      </c>
      <c r="Q25" s="27" t="n">
        <f aca="false">100*(T24/T25-1)*360/28+$C$17%</f>
        <v>0</v>
      </c>
      <c r="R25" s="28" t="n">
        <f aca="false">+$C$5*Q25%*28/360</f>
        <v>0</v>
      </c>
      <c r="S25" s="29" t="n">
        <f aca="false">+INTERPLIN(P25,Hoja1!$B$18:$B$147,Hoja1!$F$18:$F$147)</f>
        <v>0</v>
      </c>
      <c r="T25" s="30" t="n">
        <f aca="false">+(1+S25%)^(-P25/360)</f>
        <v>1</v>
      </c>
      <c r="U25" s="28" t="n">
        <f aca="false">+T25*R25</f>
        <v>0</v>
      </c>
    </row>
    <row r="26" customFormat="false" ht="15" hidden="false" customHeight="false" outlineLevel="0" collapsed="false">
      <c r="E26" s="26" t="n">
        <f aca="false">+F25</f>
        <v>45082</v>
      </c>
      <c r="F26" s="26" t="n">
        <f aca="false">+E26+28</f>
        <v>45110</v>
      </c>
      <c r="G26" s="27" t="n">
        <f aca="false">+F26-$E$4</f>
        <v>644</v>
      </c>
      <c r="H26" s="27" t="n">
        <f aca="false">+$C$12</f>
        <v>7.22</v>
      </c>
      <c r="I26" s="28" t="n">
        <f aca="false">+$C$5*H26%*28/360</f>
        <v>561555.555555556</v>
      </c>
      <c r="J26" s="29" t="n">
        <f aca="false">+INTERPLIN(G26,Hoja1!$B$18:$B$147,Hoja1!$F$18:$F$147)</f>
        <v>0</v>
      </c>
      <c r="K26" s="30" t="n">
        <f aca="false">+(1+J26%)^(-G26/360)</f>
        <v>1</v>
      </c>
      <c r="L26" s="28" t="n">
        <f aca="false">+K26*I26</f>
        <v>561555.555555556</v>
      </c>
      <c r="N26" s="26" t="n">
        <f aca="false">+O25</f>
        <v>45082</v>
      </c>
      <c r="O26" s="26" t="n">
        <f aca="false">+N26+28</f>
        <v>45110</v>
      </c>
      <c r="P26" s="27" t="n">
        <f aca="false">+O26-$E$4</f>
        <v>644</v>
      </c>
      <c r="Q26" s="27" t="n">
        <f aca="false">100*(T25/T26-1)*360/28+$C$17%</f>
        <v>0</v>
      </c>
      <c r="R26" s="28" t="n">
        <f aca="false">+$C$5*Q26%*28/360</f>
        <v>0</v>
      </c>
      <c r="S26" s="29" t="n">
        <f aca="false">+INTERPLIN(P26,Hoja1!$B$18:$B$147,Hoja1!$F$18:$F$147)</f>
        <v>0</v>
      </c>
      <c r="T26" s="30" t="n">
        <f aca="false">+(1+S26%)^(-P26/360)</f>
        <v>1</v>
      </c>
      <c r="U26" s="28" t="n">
        <f aca="false">+T26*R26</f>
        <v>0</v>
      </c>
    </row>
    <row r="27" customFormat="false" ht="15" hidden="false" customHeight="false" outlineLevel="0" collapsed="false">
      <c r="E27" s="26" t="n">
        <f aca="false">+F26</f>
        <v>45110</v>
      </c>
      <c r="F27" s="26" t="n">
        <f aca="false">+E27+28</f>
        <v>45138</v>
      </c>
      <c r="G27" s="27" t="n">
        <f aca="false">+F27-$E$4</f>
        <v>672</v>
      </c>
      <c r="H27" s="27" t="n">
        <f aca="false">+$C$12</f>
        <v>7.22</v>
      </c>
      <c r="I27" s="28" t="n">
        <f aca="false">+$C$5*H27%*28/360</f>
        <v>561555.555555556</v>
      </c>
      <c r="J27" s="29" t="n">
        <f aca="false">+INTERPLIN(G27,Hoja1!$B$18:$B$147,Hoja1!$F$18:$F$147)</f>
        <v>0</v>
      </c>
      <c r="K27" s="30" t="n">
        <f aca="false">+(1+J27%)^(-G27/360)</f>
        <v>1</v>
      </c>
      <c r="L27" s="28" t="n">
        <f aca="false">+K27*I27</f>
        <v>561555.555555556</v>
      </c>
      <c r="N27" s="26" t="n">
        <f aca="false">+O26</f>
        <v>45110</v>
      </c>
      <c r="O27" s="26" t="n">
        <f aca="false">+N27+28</f>
        <v>45138</v>
      </c>
      <c r="P27" s="27" t="n">
        <f aca="false">+O27-$E$4</f>
        <v>672</v>
      </c>
      <c r="Q27" s="27" t="n">
        <f aca="false">100*(T26/T27-1)*360/28+$C$17%</f>
        <v>0</v>
      </c>
      <c r="R27" s="28" t="n">
        <f aca="false">+$C$5*Q27%*28/360</f>
        <v>0</v>
      </c>
      <c r="S27" s="29" t="n">
        <f aca="false">+INTERPLIN(P27,Hoja1!$B$18:$B$147,Hoja1!$F$18:$F$147)</f>
        <v>0</v>
      </c>
      <c r="T27" s="30" t="n">
        <f aca="false">+(1+S27%)^(-P27/360)</f>
        <v>1</v>
      </c>
      <c r="U27" s="28" t="n">
        <f aca="false">+T27*R27</f>
        <v>0</v>
      </c>
    </row>
    <row r="28" customFormat="false" ht="15" hidden="false" customHeight="false" outlineLevel="0" collapsed="false">
      <c r="E28" s="26" t="n">
        <f aca="false">+F27</f>
        <v>45138</v>
      </c>
      <c r="F28" s="26" t="n">
        <f aca="false">+E28+28</f>
        <v>45166</v>
      </c>
      <c r="G28" s="27" t="n">
        <f aca="false">+F28-$E$4</f>
        <v>700</v>
      </c>
      <c r="H28" s="27" t="n">
        <f aca="false">+$C$12</f>
        <v>7.22</v>
      </c>
      <c r="I28" s="28" t="n">
        <f aca="false">+$C$5*H28%*28/360</f>
        <v>561555.555555556</v>
      </c>
      <c r="J28" s="29" t="n">
        <f aca="false">+INTERPLIN(G28,Hoja1!$B$18:$B$147,Hoja1!$F$18:$F$147)</f>
        <v>0</v>
      </c>
      <c r="K28" s="30" t="n">
        <f aca="false">+(1+J28%)^(-G28/360)</f>
        <v>1</v>
      </c>
      <c r="L28" s="28" t="n">
        <f aca="false">+K28*I28</f>
        <v>561555.555555556</v>
      </c>
      <c r="N28" s="26" t="n">
        <f aca="false">+O27</f>
        <v>45138</v>
      </c>
      <c r="O28" s="26" t="n">
        <f aca="false">+N28+28</f>
        <v>45166</v>
      </c>
      <c r="P28" s="27" t="n">
        <f aca="false">+O28-$E$4</f>
        <v>700</v>
      </c>
      <c r="Q28" s="27" t="n">
        <f aca="false">100*(T27/T28-1)*360/28+$C$17%</f>
        <v>0</v>
      </c>
      <c r="R28" s="28" t="n">
        <f aca="false">+$C$5*Q28%*28/360</f>
        <v>0</v>
      </c>
      <c r="S28" s="29" t="n">
        <f aca="false">+INTERPLIN(P28,Hoja1!$B$18:$B$147,Hoja1!$F$18:$F$147)</f>
        <v>0</v>
      </c>
      <c r="T28" s="30" t="n">
        <f aca="false">+(1+S28%)^(-P28/360)</f>
        <v>1</v>
      </c>
      <c r="U28" s="28" t="n">
        <f aca="false">+T28*R28</f>
        <v>0</v>
      </c>
    </row>
    <row r="29" customFormat="false" ht="15" hidden="false" customHeight="false" outlineLevel="0" collapsed="false">
      <c r="E29" s="26" t="n">
        <f aca="false">+F28</f>
        <v>45166</v>
      </c>
      <c r="F29" s="26" t="n">
        <f aca="false">+E29+28</f>
        <v>45194</v>
      </c>
      <c r="G29" s="27" t="n">
        <f aca="false">+F29-$E$4</f>
        <v>728</v>
      </c>
      <c r="H29" s="27" t="n">
        <f aca="false">+$C$12</f>
        <v>7.22</v>
      </c>
      <c r="I29" s="28" t="n">
        <f aca="false">+$C$5*H29%*28/360</f>
        <v>561555.555555556</v>
      </c>
      <c r="J29" s="29" t="n">
        <f aca="false">+INTERPLIN(G29,Hoja1!$B$18:$B$147,Hoja1!$F$18:$F$147)</f>
        <v>0</v>
      </c>
      <c r="K29" s="30" t="n">
        <f aca="false">+(1+J29%)^(-G29/360)</f>
        <v>1</v>
      </c>
      <c r="L29" s="28" t="n">
        <f aca="false">+K29*I29</f>
        <v>561555.555555556</v>
      </c>
      <c r="N29" s="26" t="n">
        <f aca="false">+O28</f>
        <v>45166</v>
      </c>
      <c r="O29" s="26" t="n">
        <f aca="false">+N29+28</f>
        <v>45194</v>
      </c>
      <c r="P29" s="27" t="n">
        <f aca="false">+O29-$E$4</f>
        <v>728</v>
      </c>
      <c r="Q29" s="27" t="n">
        <f aca="false">100*(T28/T29-1)*360/28+$C$17%</f>
        <v>0</v>
      </c>
      <c r="R29" s="28" t="n">
        <f aca="false">+$C$5*Q29%*28/360</f>
        <v>0</v>
      </c>
      <c r="S29" s="29" t="n">
        <f aca="false">+INTERPLIN(P29,Hoja1!$B$18:$B$147,Hoja1!$F$18:$F$147)</f>
        <v>0</v>
      </c>
      <c r="T29" s="30" t="n">
        <f aca="false">+(1+S29%)^(-P29/360)</f>
        <v>1</v>
      </c>
      <c r="U29" s="28" t="n">
        <f aca="false">+T29*R29</f>
        <v>0</v>
      </c>
    </row>
    <row r="30" customFormat="false" ht="15" hidden="false" customHeight="false" outlineLevel="0" collapsed="false">
      <c r="E30" s="26" t="n">
        <f aca="false">+F29</f>
        <v>45194</v>
      </c>
      <c r="F30" s="26" t="n">
        <f aca="false">+E30+28</f>
        <v>45222</v>
      </c>
      <c r="G30" s="27" t="n">
        <f aca="false">+F30-$E$4</f>
        <v>756</v>
      </c>
      <c r="H30" s="27" t="n">
        <f aca="false">+$C$12</f>
        <v>7.22</v>
      </c>
      <c r="I30" s="28" t="n">
        <f aca="false">+$C$5*H30%*28/360</f>
        <v>561555.555555556</v>
      </c>
      <c r="J30" s="29" t="n">
        <f aca="false">+INTERPLIN(G30,Hoja1!$B$18:$B$147,Hoja1!$F$18:$F$147)</f>
        <v>0</v>
      </c>
      <c r="K30" s="30" t="n">
        <f aca="false">+(1+J30%)^(-G30/360)</f>
        <v>1</v>
      </c>
      <c r="L30" s="28" t="n">
        <f aca="false">+K30*I30</f>
        <v>561555.555555556</v>
      </c>
      <c r="N30" s="26" t="n">
        <f aca="false">+O29</f>
        <v>45194</v>
      </c>
      <c r="O30" s="26" t="n">
        <f aca="false">+N30+28</f>
        <v>45222</v>
      </c>
      <c r="P30" s="27" t="n">
        <f aca="false">+O30-$E$4</f>
        <v>756</v>
      </c>
      <c r="Q30" s="27" t="n">
        <f aca="false">100*(T29/T30-1)*360/28+$C$17%</f>
        <v>0</v>
      </c>
      <c r="R30" s="28" t="n">
        <f aca="false">+$C$5*Q30%*28/360</f>
        <v>0</v>
      </c>
      <c r="S30" s="29" t="n">
        <f aca="false">+INTERPLIN(P30,Hoja1!$B$18:$B$147,Hoja1!$F$18:$F$147)</f>
        <v>0</v>
      </c>
      <c r="T30" s="30" t="n">
        <f aca="false">+(1+S30%)^(-P30/360)</f>
        <v>1</v>
      </c>
      <c r="U30" s="28" t="n">
        <f aca="false">+T30*R30</f>
        <v>0</v>
      </c>
    </row>
    <row r="31" customFormat="false" ht="15" hidden="false" customHeight="false" outlineLevel="0" collapsed="false">
      <c r="E31" s="26" t="n">
        <f aca="false">+F30</f>
        <v>45222</v>
      </c>
      <c r="F31" s="26" t="n">
        <f aca="false">+E31+28</f>
        <v>45250</v>
      </c>
      <c r="G31" s="27" t="n">
        <f aca="false">+F31-$E$4</f>
        <v>784</v>
      </c>
      <c r="H31" s="27" t="n">
        <f aca="false">+$C$12</f>
        <v>7.22</v>
      </c>
      <c r="I31" s="28" t="n">
        <f aca="false">+$C$5*H31%*28/360</f>
        <v>561555.555555556</v>
      </c>
      <c r="J31" s="29" t="n">
        <f aca="false">+INTERPLIN(G31,Hoja1!$B$18:$B$147,Hoja1!$F$18:$F$147)</f>
        <v>0</v>
      </c>
      <c r="K31" s="30" t="n">
        <f aca="false">+(1+J31%)^(-G31/360)</f>
        <v>1</v>
      </c>
      <c r="L31" s="28" t="n">
        <f aca="false">+K31*I31</f>
        <v>561555.555555556</v>
      </c>
      <c r="N31" s="26" t="n">
        <f aca="false">+O30</f>
        <v>45222</v>
      </c>
      <c r="O31" s="26" t="n">
        <f aca="false">+N31+28</f>
        <v>45250</v>
      </c>
      <c r="P31" s="27" t="n">
        <f aca="false">+O31-$E$4</f>
        <v>784</v>
      </c>
      <c r="Q31" s="27" t="n">
        <f aca="false">100*(T30/T31-1)*360/28+$C$17%</f>
        <v>0</v>
      </c>
      <c r="R31" s="28" t="n">
        <f aca="false">+$C$5*Q31%*28/360</f>
        <v>0</v>
      </c>
      <c r="S31" s="29" t="n">
        <f aca="false">+INTERPLIN(P31,Hoja1!$B$18:$B$147,Hoja1!$F$18:$F$147)</f>
        <v>0</v>
      </c>
      <c r="T31" s="30" t="n">
        <f aca="false">+(1+S31%)^(-P31/360)</f>
        <v>1</v>
      </c>
      <c r="U31" s="28" t="n">
        <f aca="false">+T31*R31</f>
        <v>0</v>
      </c>
    </row>
    <row r="32" customFormat="false" ht="15" hidden="false" customHeight="false" outlineLevel="0" collapsed="false">
      <c r="E32" s="26" t="n">
        <f aca="false">+F31</f>
        <v>45250</v>
      </c>
      <c r="F32" s="26" t="n">
        <f aca="false">+E32+28</f>
        <v>45278</v>
      </c>
      <c r="G32" s="27" t="n">
        <f aca="false">+F32-$E$4</f>
        <v>812</v>
      </c>
      <c r="H32" s="27" t="n">
        <f aca="false">+$C$12</f>
        <v>7.22</v>
      </c>
      <c r="I32" s="28" t="n">
        <f aca="false">+$C$5*H32%*28/360</f>
        <v>561555.555555556</v>
      </c>
      <c r="J32" s="29" t="n">
        <f aca="false">+INTERPLIN(G32,Hoja1!$B$18:$B$147,Hoja1!$F$18:$F$147)</f>
        <v>0</v>
      </c>
      <c r="K32" s="30" t="n">
        <f aca="false">+(1+J32%)^(-G32/360)</f>
        <v>1</v>
      </c>
      <c r="L32" s="28" t="n">
        <f aca="false">+K32*I32</f>
        <v>561555.555555556</v>
      </c>
      <c r="N32" s="26" t="n">
        <f aca="false">+O31</f>
        <v>45250</v>
      </c>
      <c r="O32" s="26" t="n">
        <f aca="false">+N32+28</f>
        <v>45278</v>
      </c>
      <c r="P32" s="27" t="n">
        <f aca="false">+O32-$E$4</f>
        <v>812</v>
      </c>
      <c r="Q32" s="27" t="n">
        <f aca="false">100*(T31/T32-1)*360/28+$C$17%</f>
        <v>0</v>
      </c>
      <c r="R32" s="28" t="n">
        <f aca="false">+$C$5*Q32%*28/360</f>
        <v>0</v>
      </c>
      <c r="S32" s="29" t="n">
        <f aca="false">+INTERPLIN(P32,Hoja1!$B$18:$B$147,Hoja1!$F$18:$F$147)</f>
        <v>0</v>
      </c>
      <c r="T32" s="30" t="n">
        <f aca="false">+(1+S32%)^(-P32/360)</f>
        <v>1</v>
      </c>
      <c r="U32" s="28" t="n">
        <f aca="false">+T32*R32</f>
        <v>0</v>
      </c>
    </row>
    <row r="33" customFormat="false" ht="15" hidden="false" customHeight="false" outlineLevel="0" collapsed="false">
      <c r="E33" s="26" t="n">
        <f aca="false">+F32</f>
        <v>45278</v>
      </c>
      <c r="F33" s="26" t="n">
        <f aca="false">+E33+28</f>
        <v>45306</v>
      </c>
      <c r="G33" s="27" t="n">
        <f aca="false">+F33-$E$4</f>
        <v>840</v>
      </c>
      <c r="H33" s="27" t="n">
        <f aca="false">+$C$12</f>
        <v>7.22</v>
      </c>
      <c r="I33" s="28" t="n">
        <f aca="false">+$C$5*H33%*28/360</f>
        <v>561555.555555556</v>
      </c>
      <c r="J33" s="29" t="n">
        <f aca="false">+INTERPLIN(G33,Hoja1!$B$18:$B$147,Hoja1!$F$18:$F$147)</f>
        <v>0</v>
      </c>
      <c r="K33" s="30" t="n">
        <f aca="false">+(1+J33%)^(-G33/360)</f>
        <v>1</v>
      </c>
      <c r="L33" s="28" t="n">
        <f aca="false">+K33*I33</f>
        <v>561555.555555556</v>
      </c>
      <c r="N33" s="26" t="n">
        <f aca="false">+O32</f>
        <v>45278</v>
      </c>
      <c r="O33" s="26" t="n">
        <f aca="false">+N33+28</f>
        <v>45306</v>
      </c>
      <c r="P33" s="27" t="n">
        <f aca="false">+O33-$E$4</f>
        <v>840</v>
      </c>
      <c r="Q33" s="27" t="n">
        <f aca="false">100*(T32/T33-1)*360/28+$C$17%</f>
        <v>0</v>
      </c>
      <c r="R33" s="28" t="n">
        <f aca="false">+$C$5*Q33%*28/360</f>
        <v>0</v>
      </c>
      <c r="S33" s="29" t="n">
        <f aca="false">+INTERPLIN(P33,Hoja1!$B$18:$B$147,Hoja1!$F$18:$F$147)</f>
        <v>0</v>
      </c>
      <c r="T33" s="30" t="n">
        <f aca="false">+(1+S33%)^(-P33/360)</f>
        <v>1</v>
      </c>
      <c r="U33" s="28" t="n">
        <f aca="false">+T33*R33</f>
        <v>0</v>
      </c>
    </row>
    <row r="34" customFormat="false" ht="15" hidden="false" customHeight="false" outlineLevel="0" collapsed="false">
      <c r="E34" s="26" t="n">
        <f aca="false">+F33</f>
        <v>45306</v>
      </c>
      <c r="F34" s="26" t="n">
        <f aca="false">+E34+28</f>
        <v>45334</v>
      </c>
      <c r="G34" s="27" t="n">
        <f aca="false">+F34-$E$4</f>
        <v>868</v>
      </c>
      <c r="H34" s="27" t="n">
        <f aca="false">+$C$12</f>
        <v>7.22</v>
      </c>
      <c r="I34" s="28" t="n">
        <f aca="false">+$C$5*H34%*28/360</f>
        <v>561555.555555556</v>
      </c>
      <c r="J34" s="29" t="n">
        <f aca="false">+INTERPLIN(G34,Hoja1!$B$18:$B$147,Hoja1!$F$18:$F$147)</f>
        <v>0</v>
      </c>
      <c r="K34" s="30" t="n">
        <f aca="false">+(1+J34%)^(-G34/360)</f>
        <v>1</v>
      </c>
      <c r="L34" s="28" t="n">
        <f aca="false">+K34*I34</f>
        <v>561555.555555556</v>
      </c>
      <c r="N34" s="26" t="n">
        <f aca="false">+O33</f>
        <v>45306</v>
      </c>
      <c r="O34" s="26" t="n">
        <f aca="false">+N34+28</f>
        <v>45334</v>
      </c>
      <c r="P34" s="27" t="n">
        <f aca="false">+O34-$E$4</f>
        <v>868</v>
      </c>
      <c r="Q34" s="27" t="e">
        <f aca="false">100*(T33/T34-1)*360/28+$C$17%</f>
        <v>#VALUE!</v>
      </c>
      <c r="R34" s="28" t="e">
        <f aca="false">+$C$5*Q34%*28/360</f>
        <v>#VALUE!</v>
      </c>
      <c r="S34" s="29" t="e">
        <f aca="false">+INTERPLIN(P34,Hoja1!$B$18:$B$147,Hoja1!$F$18:$F$147)</f>
        <v>#VALUE!</v>
      </c>
      <c r="T34" s="30" t="e">
        <f aca="false">+(1+S34%)^(-P34/360)</f>
        <v>#VALUE!</v>
      </c>
      <c r="U34" s="28" t="e">
        <f aca="false">+T34*R34</f>
        <v>#VALUE!</v>
      </c>
    </row>
    <row r="35" customFormat="false" ht="15" hidden="false" customHeight="false" outlineLevel="0" collapsed="false">
      <c r="E35" s="26" t="n">
        <f aca="false">+F34</f>
        <v>45334</v>
      </c>
      <c r="F35" s="26" t="n">
        <f aca="false">+E35+28</f>
        <v>45362</v>
      </c>
      <c r="G35" s="27" t="n">
        <f aca="false">+F35-$E$4</f>
        <v>896</v>
      </c>
      <c r="H35" s="27" t="n">
        <f aca="false">+$C$12</f>
        <v>7.22</v>
      </c>
      <c r="I35" s="28" t="n">
        <f aca="false">+$C$5*H35%*28/360</f>
        <v>561555.555555556</v>
      </c>
      <c r="J35" s="29" t="n">
        <f aca="false">+INTERPLIN(G35,Hoja1!$B$18:$B$147,Hoja1!$F$18:$F$147)</f>
        <v>0</v>
      </c>
      <c r="K35" s="30" t="n">
        <f aca="false">+(1+J35%)^(-G35/360)</f>
        <v>1</v>
      </c>
      <c r="L35" s="28" t="n">
        <f aca="false">+K35*I35</f>
        <v>561555.555555556</v>
      </c>
      <c r="N35" s="26" t="n">
        <f aca="false">+O34</f>
        <v>45334</v>
      </c>
      <c r="O35" s="26" t="n">
        <f aca="false">+N35+28</f>
        <v>45362</v>
      </c>
      <c r="P35" s="27" t="n">
        <f aca="false">+O35-$E$4</f>
        <v>896</v>
      </c>
      <c r="Q35" s="27" t="e">
        <f aca="false">100*(T34/T35-1)*360/28+$C$17%</f>
        <v>#VALUE!</v>
      </c>
      <c r="R35" s="28" t="e">
        <f aca="false">+$C$5*Q35%*28/360</f>
        <v>#VALUE!</v>
      </c>
      <c r="S35" s="29" t="n">
        <f aca="false">+INTERPLIN(P35,Hoja1!$B$18:$B$147,Hoja1!$F$18:$F$147)</f>
        <v>0</v>
      </c>
      <c r="T35" s="30" t="n">
        <f aca="false">+(1+S35%)^(-P35/360)</f>
        <v>1</v>
      </c>
      <c r="U35" s="28" t="e">
        <f aca="false">+T35*R35</f>
        <v>#VALUE!</v>
      </c>
    </row>
    <row r="36" customFormat="false" ht="15" hidden="false" customHeight="false" outlineLevel="0" collapsed="false">
      <c r="E36" s="26" t="n">
        <f aca="false">+F35</f>
        <v>45362</v>
      </c>
      <c r="F36" s="26" t="n">
        <f aca="false">+E36+28</f>
        <v>45390</v>
      </c>
      <c r="G36" s="27" t="n">
        <f aca="false">+F36-$E$4</f>
        <v>924</v>
      </c>
      <c r="H36" s="27" t="n">
        <f aca="false">+$C$12</f>
        <v>7.22</v>
      </c>
      <c r="I36" s="28" t="n">
        <f aca="false">+$C$5*H36%*28/360</f>
        <v>561555.555555556</v>
      </c>
      <c r="J36" s="29" t="n">
        <f aca="false">+INTERPLIN(G36,Hoja1!$B$18:$B$147,Hoja1!$F$18:$F$147)</f>
        <v>0</v>
      </c>
      <c r="K36" s="30" t="n">
        <f aca="false">+(1+J36%)^(-G36/360)</f>
        <v>1</v>
      </c>
      <c r="L36" s="28" t="n">
        <f aca="false">+K36*I36</f>
        <v>561555.555555556</v>
      </c>
      <c r="N36" s="26" t="n">
        <f aca="false">+O35</f>
        <v>45362</v>
      </c>
      <c r="O36" s="26" t="n">
        <f aca="false">+N36+28</f>
        <v>45390</v>
      </c>
      <c r="P36" s="27" t="n">
        <f aca="false">+O36-$E$4</f>
        <v>924</v>
      </c>
      <c r="Q36" s="27" t="n">
        <f aca="false">100*(T35/T36-1)*360/28+$C$17%</f>
        <v>0</v>
      </c>
      <c r="R36" s="28" t="n">
        <f aca="false">+$C$5*Q36%*28/360</f>
        <v>0</v>
      </c>
      <c r="S36" s="29" t="n">
        <f aca="false">+INTERPLIN(P36,Hoja1!$B$18:$B$147,Hoja1!$F$18:$F$147)</f>
        <v>0</v>
      </c>
      <c r="T36" s="30" t="n">
        <f aca="false">+(1+S36%)^(-P36/360)</f>
        <v>1</v>
      </c>
      <c r="U36" s="28" t="n">
        <f aca="false">+T36*R36</f>
        <v>0</v>
      </c>
    </row>
    <row r="37" customFormat="false" ht="15" hidden="false" customHeight="false" outlineLevel="0" collapsed="false">
      <c r="E37" s="26" t="n">
        <f aca="false">+F36</f>
        <v>45390</v>
      </c>
      <c r="F37" s="26" t="n">
        <f aca="false">+E37+28</f>
        <v>45418</v>
      </c>
      <c r="G37" s="27" t="n">
        <f aca="false">+F37-$E$4</f>
        <v>952</v>
      </c>
      <c r="H37" s="27" t="n">
        <f aca="false">+$C$12</f>
        <v>7.22</v>
      </c>
      <c r="I37" s="28" t="n">
        <f aca="false">+$C$5*H37%*28/360</f>
        <v>561555.555555556</v>
      </c>
      <c r="J37" s="29" t="n">
        <f aca="false">+INTERPLIN(G37,Hoja1!$B$18:$B$147,Hoja1!$F$18:$F$147)</f>
        <v>0</v>
      </c>
      <c r="K37" s="30" t="n">
        <f aca="false">+(1+J37%)^(-G37/360)</f>
        <v>1</v>
      </c>
      <c r="L37" s="28" t="n">
        <f aca="false">+K37*I37</f>
        <v>561555.555555556</v>
      </c>
      <c r="N37" s="26" t="n">
        <f aca="false">+O36</f>
        <v>45390</v>
      </c>
      <c r="O37" s="26" t="n">
        <f aca="false">+N37+28</f>
        <v>45418</v>
      </c>
      <c r="P37" s="27" t="n">
        <f aca="false">+O37-$E$4</f>
        <v>952</v>
      </c>
      <c r="Q37" s="27" t="n">
        <f aca="false">100*(T36/T37-1)*360/28+$C$17%</f>
        <v>0</v>
      </c>
      <c r="R37" s="28" t="n">
        <f aca="false">+$C$5*Q37%*28/360</f>
        <v>0</v>
      </c>
      <c r="S37" s="29" t="n">
        <f aca="false">+INTERPLIN(P37,Hoja1!$B$18:$B$147,Hoja1!$F$18:$F$147)</f>
        <v>0</v>
      </c>
      <c r="T37" s="30" t="n">
        <f aca="false">+(1+S37%)^(-P37/360)</f>
        <v>1</v>
      </c>
      <c r="U37" s="28" t="n">
        <f aca="false">+T37*R37</f>
        <v>0</v>
      </c>
    </row>
    <row r="38" customFormat="false" ht="15" hidden="false" customHeight="false" outlineLevel="0" collapsed="false">
      <c r="E38" s="26" t="n">
        <f aca="false">+F37</f>
        <v>45418</v>
      </c>
      <c r="F38" s="26" t="n">
        <f aca="false">+E38+28</f>
        <v>45446</v>
      </c>
      <c r="G38" s="27" t="n">
        <f aca="false">+F38-$E$4</f>
        <v>980</v>
      </c>
      <c r="H38" s="27" t="n">
        <f aca="false">+$C$12</f>
        <v>7.22</v>
      </c>
      <c r="I38" s="28" t="n">
        <f aca="false">+$C$5*H38%*28/360</f>
        <v>561555.555555556</v>
      </c>
      <c r="J38" s="29" t="n">
        <f aca="false">+INTERPLIN(G38,Hoja1!$B$18:$B$147,Hoja1!$F$18:$F$147)</f>
        <v>0</v>
      </c>
      <c r="K38" s="30" t="n">
        <f aca="false">+(1+J38%)^(-G38/360)</f>
        <v>1</v>
      </c>
      <c r="L38" s="28" t="n">
        <f aca="false">+K38*I38</f>
        <v>561555.555555556</v>
      </c>
      <c r="N38" s="26" t="n">
        <f aca="false">+O37</f>
        <v>45418</v>
      </c>
      <c r="O38" s="26" t="n">
        <f aca="false">+N38+28</f>
        <v>45446</v>
      </c>
      <c r="P38" s="27" t="n">
        <f aca="false">+O38-$E$4</f>
        <v>980</v>
      </c>
      <c r="Q38" s="27" t="n">
        <f aca="false">100*(T37/T38-1)*360/28+$C$17%</f>
        <v>0</v>
      </c>
      <c r="R38" s="28" t="n">
        <f aca="false">+$C$5*Q38%*28/360</f>
        <v>0</v>
      </c>
      <c r="S38" s="29" t="n">
        <f aca="false">+INTERPLIN(P38,Hoja1!$B$18:$B$147,Hoja1!$F$18:$F$147)</f>
        <v>0</v>
      </c>
      <c r="T38" s="30" t="n">
        <f aca="false">+(1+S38%)^(-P38/360)</f>
        <v>1</v>
      </c>
      <c r="U38" s="28" t="n">
        <f aca="false">+T38*R38</f>
        <v>0</v>
      </c>
    </row>
    <row r="39" customFormat="false" ht="15" hidden="false" customHeight="false" outlineLevel="0" collapsed="false">
      <c r="E39" s="26" t="n">
        <f aca="false">+F38</f>
        <v>45446</v>
      </c>
      <c r="F39" s="26" t="n">
        <f aca="false">+E39+28</f>
        <v>45474</v>
      </c>
      <c r="G39" s="27" t="n">
        <f aca="false">+F39-$E$4</f>
        <v>1008</v>
      </c>
      <c r="H39" s="27" t="n">
        <f aca="false">+$C$12</f>
        <v>7.22</v>
      </c>
      <c r="I39" s="28" t="n">
        <f aca="false">+$C$5*H39%*28/360</f>
        <v>561555.555555556</v>
      </c>
      <c r="J39" s="29" t="n">
        <f aca="false">+INTERPLIN(G39,Hoja1!$B$18:$B$147,Hoja1!$F$18:$F$147)</f>
        <v>0</v>
      </c>
      <c r="K39" s="30" t="n">
        <f aca="false">+(1+J39%)^(-G39/360)</f>
        <v>1</v>
      </c>
      <c r="L39" s="28" t="n">
        <f aca="false">+K39*I39</f>
        <v>561555.555555556</v>
      </c>
      <c r="N39" s="26" t="n">
        <f aca="false">+O38</f>
        <v>45446</v>
      </c>
      <c r="O39" s="26" t="n">
        <f aca="false">+N39+28</f>
        <v>45474</v>
      </c>
      <c r="P39" s="27" t="n">
        <f aca="false">+O39-$E$4</f>
        <v>1008</v>
      </c>
      <c r="Q39" s="27" t="n">
        <f aca="false">100*(T38/T39-1)*360/28+$C$17%</f>
        <v>0</v>
      </c>
      <c r="R39" s="28" t="n">
        <f aca="false">+$C$5*Q39%*28/360</f>
        <v>0</v>
      </c>
      <c r="S39" s="29" t="n">
        <f aca="false">+INTERPLIN(P39,Hoja1!$B$18:$B$147,Hoja1!$F$18:$F$147)</f>
        <v>0</v>
      </c>
      <c r="T39" s="30" t="n">
        <f aca="false">+(1+S39%)^(-P39/360)</f>
        <v>1</v>
      </c>
      <c r="U39" s="28" t="n">
        <f aca="false">+T39*R39</f>
        <v>0</v>
      </c>
    </row>
    <row r="40" customFormat="false" ht="15" hidden="false" customHeight="false" outlineLevel="0" collapsed="false">
      <c r="E40" s="26" t="n">
        <f aca="false">+F39</f>
        <v>45474</v>
      </c>
      <c r="F40" s="26" t="n">
        <f aca="false">+E40+28</f>
        <v>45502</v>
      </c>
      <c r="G40" s="27" t="n">
        <f aca="false">+F40-$E$4</f>
        <v>1036</v>
      </c>
      <c r="H40" s="27" t="n">
        <f aca="false">+$C$12</f>
        <v>7.22</v>
      </c>
      <c r="I40" s="28" t="n">
        <f aca="false">+$C$5*H40%*28/360</f>
        <v>561555.555555556</v>
      </c>
      <c r="J40" s="29" t="n">
        <f aca="false">+INTERPLIN(G40,Hoja1!$B$18:$B$147,Hoja1!$F$18:$F$147)</f>
        <v>0</v>
      </c>
      <c r="K40" s="30" t="n">
        <f aca="false">+(1+J40%)^(-G40/360)</f>
        <v>1</v>
      </c>
      <c r="L40" s="28" t="n">
        <f aca="false">+K40*I40</f>
        <v>561555.555555556</v>
      </c>
      <c r="N40" s="26" t="n">
        <f aca="false">+O39</f>
        <v>45474</v>
      </c>
      <c r="O40" s="26" t="n">
        <f aca="false">+N40+28</f>
        <v>45502</v>
      </c>
      <c r="P40" s="27" t="n">
        <f aca="false">+O40-$E$4</f>
        <v>1036</v>
      </c>
      <c r="Q40" s="27" t="n">
        <f aca="false">100*(T39/T40-1)*360/28+$C$17%</f>
        <v>0</v>
      </c>
      <c r="R40" s="28" t="n">
        <f aca="false">+$C$5*Q40%*28/360</f>
        <v>0</v>
      </c>
      <c r="S40" s="29" t="n">
        <f aca="false">+INTERPLIN(P40,Hoja1!$B$18:$B$147,Hoja1!$F$18:$F$147)</f>
        <v>0</v>
      </c>
      <c r="T40" s="30" t="n">
        <f aca="false">+(1+S40%)^(-P40/360)</f>
        <v>1</v>
      </c>
      <c r="U40" s="28" t="n">
        <f aca="false">+T40*R40</f>
        <v>0</v>
      </c>
    </row>
    <row r="41" customFormat="false" ht="15" hidden="false" customHeight="false" outlineLevel="0" collapsed="false">
      <c r="E41" s="26" t="n">
        <f aca="false">+F40</f>
        <v>45502</v>
      </c>
      <c r="F41" s="26" t="n">
        <f aca="false">+E41+28</f>
        <v>45530</v>
      </c>
      <c r="G41" s="27" t="n">
        <f aca="false">+F41-$E$4</f>
        <v>1064</v>
      </c>
      <c r="H41" s="27" t="n">
        <f aca="false">+$C$12</f>
        <v>7.22</v>
      </c>
      <c r="I41" s="28" t="n">
        <f aca="false">+$C$5*H41%*28/360</f>
        <v>561555.555555556</v>
      </c>
      <c r="J41" s="29" t="n">
        <f aca="false">+INTERPLIN(G41,Hoja1!$B$18:$B$147,Hoja1!$F$18:$F$147)</f>
        <v>0</v>
      </c>
      <c r="K41" s="30" t="n">
        <f aca="false">+(1+J41%)^(-G41/360)</f>
        <v>1</v>
      </c>
      <c r="L41" s="28" t="n">
        <f aca="false">+K41*I41</f>
        <v>561555.555555556</v>
      </c>
      <c r="N41" s="26" t="n">
        <f aca="false">+O40</f>
        <v>45502</v>
      </c>
      <c r="O41" s="26" t="n">
        <f aca="false">+N41+28</f>
        <v>45530</v>
      </c>
      <c r="P41" s="27" t="n">
        <f aca="false">+O41-$E$4</f>
        <v>1064</v>
      </c>
      <c r="Q41" s="27" t="n">
        <f aca="false">100*(T40/T41-1)*360/28+$C$17%</f>
        <v>0</v>
      </c>
      <c r="R41" s="28" t="n">
        <f aca="false">+$C$5*Q41%*28/360</f>
        <v>0</v>
      </c>
      <c r="S41" s="29" t="n">
        <f aca="false">+INTERPLIN(P41,Hoja1!$B$18:$B$147,Hoja1!$F$18:$F$147)</f>
        <v>0</v>
      </c>
      <c r="T41" s="30" t="n">
        <f aca="false">+(1+S41%)^(-P41/360)</f>
        <v>1</v>
      </c>
      <c r="U41" s="28" t="n">
        <f aca="false">+T41*R41</f>
        <v>0</v>
      </c>
    </row>
    <row r="42" customFormat="false" ht="15" hidden="false" customHeight="false" outlineLevel="0" collapsed="false">
      <c r="E42" s="26" t="n">
        <f aca="false">+F41</f>
        <v>45530</v>
      </c>
      <c r="F42" s="26" t="n">
        <f aca="false">+E42+28</f>
        <v>45558</v>
      </c>
      <c r="G42" s="27" t="n">
        <f aca="false">+F42-$E$4</f>
        <v>1092</v>
      </c>
      <c r="H42" s="27" t="n">
        <f aca="false">+$C$12</f>
        <v>7.22</v>
      </c>
      <c r="I42" s="28" t="n">
        <f aca="false">+$C$5*H42%*28/360</f>
        <v>561555.555555556</v>
      </c>
      <c r="J42" s="29" t="n">
        <f aca="false">+INTERPLIN(G42,Hoja1!$B$18:$B$147,Hoja1!$F$18:$F$147)</f>
        <v>0</v>
      </c>
      <c r="K42" s="30" t="n">
        <f aca="false">+(1+J42%)^(-G42/360)</f>
        <v>1</v>
      </c>
      <c r="L42" s="28" t="n">
        <f aca="false">+K42*I42</f>
        <v>561555.555555556</v>
      </c>
      <c r="N42" s="26" t="n">
        <f aca="false">+O41</f>
        <v>45530</v>
      </c>
      <c r="O42" s="26" t="n">
        <f aca="false">+N42+28</f>
        <v>45558</v>
      </c>
      <c r="P42" s="27" t="n">
        <f aca="false">+O42-$E$4</f>
        <v>1092</v>
      </c>
      <c r="Q42" s="27" t="n">
        <f aca="false">100*(T41/T42-1)*360/28+$C$17%</f>
        <v>0</v>
      </c>
      <c r="R42" s="28" t="n">
        <f aca="false">+$C$5*Q42%*28/360</f>
        <v>0</v>
      </c>
      <c r="S42" s="29" t="n">
        <f aca="false">+INTERPLIN(P42,Hoja1!$B$18:$B$147,Hoja1!$F$18:$F$147)</f>
        <v>0</v>
      </c>
      <c r="T42" s="30" t="n">
        <f aca="false">+(1+S42%)^(-P42/360)</f>
        <v>1</v>
      </c>
      <c r="U42" s="28" t="n">
        <f aca="false">+T42*R42</f>
        <v>0</v>
      </c>
    </row>
    <row r="43" customFormat="false" ht="15" hidden="false" customHeight="false" outlineLevel="0" collapsed="false">
      <c r="E43" s="26" t="n">
        <f aca="false">+F42</f>
        <v>45558</v>
      </c>
      <c r="F43" s="26" t="n">
        <f aca="false">+E43+28</f>
        <v>45586</v>
      </c>
      <c r="G43" s="27" t="n">
        <f aca="false">+F43-$E$4</f>
        <v>1120</v>
      </c>
      <c r="H43" s="27" t="n">
        <f aca="false">+$C$12</f>
        <v>7.22</v>
      </c>
      <c r="I43" s="28" t="n">
        <f aca="false">+$C$5*H43%*28/360</f>
        <v>561555.555555556</v>
      </c>
      <c r="J43" s="29" t="n">
        <f aca="false">+INTERPLIN(G43,Hoja1!$B$18:$B$147,Hoja1!$F$18:$F$147)</f>
        <v>0</v>
      </c>
      <c r="K43" s="30" t="n">
        <f aca="false">+(1+J43%)^(-G43/360)</f>
        <v>1</v>
      </c>
      <c r="L43" s="28" t="n">
        <f aca="false">+K43*I43</f>
        <v>561555.555555556</v>
      </c>
      <c r="N43" s="26" t="n">
        <f aca="false">+O42</f>
        <v>45558</v>
      </c>
      <c r="O43" s="26" t="n">
        <f aca="false">+N43+28</f>
        <v>45586</v>
      </c>
      <c r="P43" s="27" t="n">
        <f aca="false">+O43-$E$4</f>
        <v>1120</v>
      </c>
      <c r="Q43" s="27" t="n">
        <f aca="false">100*(T42/T43-1)*360/28+$C$17%</f>
        <v>0</v>
      </c>
      <c r="R43" s="28" t="n">
        <f aca="false">+$C$5*Q43%*28/360</f>
        <v>0</v>
      </c>
      <c r="S43" s="29" t="n">
        <f aca="false">+INTERPLIN(P43,Hoja1!$B$18:$B$147,Hoja1!$F$18:$F$147)</f>
        <v>0</v>
      </c>
      <c r="T43" s="30" t="n">
        <f aca="false">+(1+S43%)^(-P43/360)</f>
        <v>1</v>
      </c>
      <c r="U43" s="28" t="n">
        <f aca="false">+T43*R43</f>
        <v>0</v>
      </c>
    </row>
    <row r="44" customFormat="false" ht="15" hidden="false" customHeight="false" outlineLevel="0" collapsed="false">
      <c r="E44" s="26" t="n">
        <f aca="false">+F43</f>
        <v>45586</v>
      </c>
      <c r="F44" s="26" t="n">
        <f aca="false">+E44+28</f>
        <v>45614</v>
      </c>
      <c r="G44" s="27" t="n">
        <f aca="false">+F44-$E$4</f>
        <v>1148</v>
      </c>
      <c r="H44" s="27" t="n">
        <f aca="false">+$C$12</f>
        <v>7.22</v>
      </c>
      <c r="I44" s="28" t="n">
        <f aca="false">+$C$5*H44%*28/360</f>
        <v>561555.555555556</v>
      </c>
      <c r="J44" s="29" t="n">
        <f aca="false">+INTERPLIN(G44,Hoja1!$B$18:$B$147,Hoja1!$F$18:$F$147)</f>
        <v>0</v>
      </c>
      <c r="K44" s="30" t="n">
        <f aca="false">+(1+J44%)^(-G44/360)</f>
        <v>1</v>
      </c>
      <c r="L44" s="28" t="n">
        <f aca="false">+K44*I44</f>
        <v>561555.555555556</v>
      </c>
      <c r="N44" s="26" t="n">
        <f aca="false">+O43</f>
        <v>45586</v>
      </c>
      <c r="O44" s="26" t="n">
        <f aca="false">+N44+28</f>
        <v>45614</v>
      </c>
      <c r="P44" s="27" t="n">
        <f aca="false">+O44-$E$4</f>
        <v>1148</v>
      </c>
      <c r="Q44" s="27" t="n">
        <f aca="false">100*(T43/T44-1)*360/28+$C$17%</f>
        <v>0</v>
      </c>
      <c r="R44" s="28" t="n">
        <f aca="false">+$C$5*Q44%*28/360</f>
        <v>0</v>
      </c>
      <c r="S44" s="29" t="n">
        <f aca="false">+INTERPLIN(P44,Hoja1!$B$18:$B$147,Hoja1!$F$18:$F$147)</f>
        <v>0</v>
      </c>
      <c r="T44" s="30" t="n">
        <f aca="false">+(1+S44%)^(-P44/360)</f>
        <v>1</v>
      </c>
      <c r="U44" s="28" t="n">
        <f aca="false">+T44*R44</f>
        <v>0</v>
      </c>
    </row>
    <row r="45" customFormat="false" ht="15" hidden="false" customHeight="false" outlineLevel="0" collapsed="false">
      <c r="E45" s="26" t="n">
        <f aca="false">+F44</f>
        <v>45614</v>
      </c>
      <c r="F45" s="26" t="n">
        <f aca="false">+E45+28</f>
        <v>45642</v>
      </c>
      <c r="G45" s="27" t="n">
        <f aca="false">+F45-$E$4</f>
        <v>1176</v>
      </c>
      <c r="H45" s="27" t="n">
        <f aca="false">+$C$12</f>
        <v>7.22</v>
      </c>
      <c r="I45" s="28" t="n">
        <f aca="false">+$C$5*H45%*28/360</f>
        <v>561555.555555556</v>
      </c>
      <c r="J45" s="29" t="n">
        <f aca="false">+INTERPLIN(G45,Hoja1!$B$18:$B$147,Hoja1!$F$18:$F$147)</f>
        <v>0</v>
      </c>
      <c r="K45" s="30" t="n">
        <f aca="false">+(1+J45%)^(-G45/360)</f>
        <v>1</v>
      </c>
      <c r="L45" s="28" t="n">
        <f aca="false">+K45*I45</f>
        <v>561555.555555556</v>
      </c>
      <c r="N45" s="26" t="n">
        <f aca="false">+O44</f>
        <v>45614</v>
      </c>
      <c r="O45" s="26" t="n">
        <f aca="false">+N45+28</f>
        <v>45642</v>
      </c>
      <c r="P45" s="27" t="n">
        <f aca="false">+O45-$E$4</f>
        <v>1176</v>
      </c>
      <c r="Q45" s="27" t="n">
        <f aca="false">100*(T44/T45-1)*360/28+$C$17%</f>
        <v>0</v>
      </c>
      <c r="R45" s="28" t="n">
        <f aca="false">+$C$5*Q45%*28/360</f>
        <v>0</v>
      </c>
      <c r="S45" s="29" t="n">
        <f aca="false">+INTERPLIN(P45,Hoja1!$B$18:$B$147,Hoja1!$F$18:$F$147)</f>
        <v>0</v>
      </c>
      <c r="T45" s="30" t="n">
        <f aca="false">+(1+S45%)^(-P45/360)</f>
        <v>1</v>
      </c>
      <c r="U45" s="28" t="n">
        <f aca="false">+T45*R45</f>
        <v>0</v>
      </c>
    </row>
    <row r="46" customFormat="false" ht="15" hidden="false" customHeight="false" outlineLevel="0" collapsed="false">
      <c r="E46" s="26" t="n">
        <f aca="false">+F45</f>
        <v>45642</v>
      </c>
      <c r="F46" s="26" t="n">
        <f aca="false">+E46+28</f>
        <v>45670</v>
      </c>
      <c r="G46" s="27" t="n">
        <f aca="false">+F46-$E$4</f>
        <v>1204</v>
      </c>
      <c r="H46" s="27" t="n">
        <f aca="false">+$C$12</f>
        <v>7.22</v>
      </c>
      <c r="I46" s="28" t="n">
        <f aca="false">+$C$5*H46%*28/360</f>
        <v>561555.555555556</v>
      </c>
      <c r="J46" s="29" t="n">
        <f aca="false">+INTERPLIN(G46,Hoja1!$B$18:$B$147,Hoja1!$F$18:$F$147)</f>
        <v>0</v>
      </c>
      <c r="K46" s="30" t="n">
        <f aca="false">+(1+J46%)^(-G46/360)</f>
        <v>1</v>
      </c>
      <c r="L46" s="28" t="n">
        <f aca="false">+K46*I46</f>
        <v>561555.555555556</v>
      </c>
      <c r="N46" s="26" t="n">
        <f aca="false">+O45</f>
        <v>45642</v>
      </c>
      <c r="O46" s="26" t="n">
        <f aca="false">+N46+28</f>
        <v>45670</v>
      </c>
      <c r="P46" s="27" t="n">
        <f aca="false">+O46-$E$4</f>
        <v>1204</v>
      </c>
      <c r="Q46" s="27" t="n">
        <f aca="false">100*(T45/T46-1)*360/28+$C$17%</f>
        <v>0</v>
      </c>
      <c r="R46" s="28" t="n">
        <f aca="false">+$C$5*Q46%*28/360</f>
        <v>0</v>
      </c>
      <c r="S46" s="29" t="n">
        <f aca="false">+INTERPLIN(P46,Hoja1!$B$18:$B$147,Hoja1!$F$18:$F$147)</f>
        <v>0</v>
      </c>
      <c r="T46" s="30" t="n">
        <f aca="false">+(1+S46%)^(-P46/360)</f>
        <v>1</v>
      </c>
      <c r="U46" s="28" t="n">
        <f aca="false">+T46*R46</f>
        <v>0</v>
      </c>
    </row>
    <row r="47" customFormat="false" ht="15" hidden="false" customHeight="false" outlineLevel="0" collapsed="false">
      <c r="E47" s="26" t="n">
        <f aca="false">+F46</f>
        <v>45670</v>
      </c>
      <c r="F47" s="26" t="n">
        <f aca="false">+E47+28</f>
        <v>45698</v>
      </c>
      <c r="G47" s="27" t="n">
        <f aca="false">+F47-$E$4</f>
        <v>1232</v>
      </c>
      <c r="H47" s="27" t="n">
        <f aca="false">+$C$12</f>
        <v>7.22</v>
      </c>
      <c r="I47" s="28" t="n">
        <f aca="false">+$C$5*H47%*28/360</f>
        <v>561555.555555556</v>
      </c>
      <c r="J47" s="29" t="n">
        <f aca="false">+INTERPLIN(G47,Hoja1!$B$18:$B$147,Hoja1!$F$18:$F$147)</f>
        <v>0</v>
      </c>
      <c r="K47" s="30" t="n">
        <f aca="false">+(1+J47%)^(-G47/360)</f>
        <v>1</v>
      </c>
      <c r="L47" s="28" t="n">
        <f aca="false">+K47*I47</f>
        <v>561555.555555556</v>
      </c>
      <c r="N47" s="26" t="n">
        <f aca="false">+O46</f>
        <v>45670</v>
      </c>
      <c r="O47" s="26" t="n">
        <f aca="false">+N47+28</f>
        <v>45698</v>
      </c>
      <c r="P47" s="27" t="n">
        <f aca="false">+O47-$E$4</f>
        <v>1232</v>
      </c>
      <c r="Q47" s="27" t="n">
        <f aca="false">100*(T46/T47-1)*360/28+$C$17%</f>
        <v>0</v>
      </c>
      <c r="R47" s="28" t="n">
        <f aca="false">+$C$5*Q47%*28/360</f>
        <v>0</v>
      </c>
      <c r="S47" s="29" t="n">
        <f aca="false">+INTERPLIN(P47,Hoja1!$B$18:$B$147,Hoja1!$F$18:$F$147)</f>
        <v>0</v>
      </c>
      <c r="T47" s="30" t="n">
        <f aca="false">+(1+S47%)^(-P47/360)</f>
        <v>1</v>
      </c>
      <c r="U47" s="28" t="n">
        <f aca="false">+T47*R47</f>
        <v>0</v>
      </c>
    </row>
    <row r="48" customFormat="false" ht="15" hidden="false" customHeight="false" outlineLevel="0" collapsed="false">
      <c r="E48" s="26" t="n">
        <f aca="false">+F47</f>
        <v>45698</v>
      </c>
      <c r="F48" s="26" t="n">
        <f aca="false">+E48+28</f>
        <v>45726</v>
      </c>
      <c r="G48" s="27" t="n">
        <f aca="false">+F48-$E$4</f>
        <v>1260</v>
      </c>
      <c r="H48" s="27" t="n">
        <f aca="false">+$C$12</f>
        <v>7.22</v>
      </c>
      <c r="I48" s="28" t="n">
        <f aca="false">+$C$5*H48%*28/360</f>
        <v>561555.555555556</v>
      </c>
      <c r="J48" s="29" t="n">
        <f aca="false">+INTERPLIN(G48,Hoja1!$B$18:$B$147,Hoja1!$F$18:$F$147)</f>
        <v>0</v>
      </c>
      <c r="K48" s="30" t="n">
        <f aca="false">+(1+J48%)^(-G48/360)</f>
        <v>1</v>
      </c>
      <c r="L48" s="28" t="n">
        <f aca="false">+K48*I48</f>
        <v>561555.555555556</v>
      </c>
      <c r="N48" s="26" t="n">
        <f aca="false">+O47</f>
        <v>45698</v>
      </c>
      <c r="O48" s="26" t="n">
        <f aca="false">+N48+28</f>
        <v>45726</v>
      </c>
      <c r="P48" s="27" t="n">
        <f aca="false">+O48-$E$4</f>
        <v>1260</v>
      </c>
      <c r="Q48" s="27" t="n">
        <f aca="false">100*(T47/T48-1)*360/28+$C$17%</f>
        <v>0</v>
      </c>
      <c r="R48" s="28" t="n">
        <f aca="false">+$C$5*Q48%*28/360</f>
        <v>0</v>
      </c>
      <c r="S48" s="29" t="n">
        <f aca="false">+INTERPLIN(P48,Hoja1!$B$18:$B$147,Hoja1!$F$18:$F$147)</f>
        <v>0</v>
      </c>
      <c r="T48" s="30" t="n">
        <f aca="false">+(1+S48%)^(-P48/360)</f>
        <v>1</v>
      </c>
      <c r="U48" s="28" t="n">
        <f aca="false">+T48*R48</f>
        <v>0</v>
      </c>
    </row>
    <row r="49" customFormat="false" ht="15" hidden="false" customHeight="false" outlineLevel="0" collapsed="false">
      <c r="E49" s="26" t="n">
        <f aca="false">+F48</f>
        <v>45726</v>
      </c>
      <c r="F49" s="26" t="n">
        <f aca="false">+E49+28</f>
        <v>45754</v>
      </c>
      <c r="G49" s="27" t="n">
        <f aca="false">+F49-$E$4</f>
        <v>1288</v>
      </c>
      <c r="H49" s="27" t="n">
        <f aca="false">+$C$12</f>
        <v>7.22</v>
      </c>
      <c r="I49" s="28" t="n">
        <f aca="false">+$C$5*H49%*28/360</f>
        <v>561555.555555556</v>
      </c>
      <c r="J49" s="29" t="n">
        <f aca="false">+INTERPLIN(G49,Hoja1!$B$18:$B$147,Hoja1!$F$18:$F$147)</f>
        <v>0</v>
      </c>
      <c r="K49" s="30" t="n">
        <f aca="false">+(1+J49%)^(-G49/360)</f>
        <v>1</v>
      </c>
      <c r="L49" s="28" t="n">
        <f aca="false">+K49*I49</f>
        <v>561555.555555556</v>
      </c>
      <c r="N49" s="26" t="n">
        <f aca="false">+O48</f>
        <v>45726</v>
      </c>
      <c r="O49" s="26" t="n">
        <f aca="false">+N49+28</f>
        <v>45754</v>
      </c>
      <c r="P49" s="27" t="n">
        <f aca="false">+O49-$E$4</f>
        <v>1288</v>
      </c>
      <c r="Q49" s="27" t="n">
        <f aca="false">100*(T48/T49-1)*360/28+$C$17%</f>
        <v>0</v>
      </c>
      <c r="R49" s="28" t="n">
        <f aca="false">+$C$5*Q49%*28/360</f>
        <v>0</v>
      </c>
      <c r="S49" s="29" t="n">
        <f aca="false">+INTERPLIN(P49,Hoja1!$B$18:$B$147,Hoja1!$F$18:$F$147)</f>
        <v>0</v>
      </c>
      <c r="T49" s="30" t="n">
        <f aca="false">+(1+S49%)^(-P49/360)</f>
        <v>1</v>
      </c>
      <c r="U49" s="28" t="n">
        <f aca="false">+T49*R49</f>
        <v>0</v>
      </c>
    </row>
    <row r="50" customFormat="false" ht="15" hidden="false" customHeight="false" outlineLevel="0" collapsed="false">
      <c r="E50" s="26" t="n">
        <f aca="false">+F49</f>
        <v>45754</v>
      </c>
      <c r="F50" s="26" t="n">
        <f aca="false">+E50+28</f>
        <v>45782</v>
      </c>
      <c r="G50" s="27" t="n">
        <f aca="false">+F50-$E$4</f>
        <v>1316</v>
      </c>
      <c r="H50" s="27" t="n">
        <f aca="false">+$C$12</f>
        <v>7.22</v>
      </c>
      <c r="I50" s="28" t="n">
        <f aca="false">+$C$5*H50%*28/360</f>
        <v>561555.555555556</v>
      </c>
      <c r="J50" s="29" t="n">
        <f aca="false">+INTERPLIN(G50,Hoja1!$B$18:$B$147,Hoja1!$F$18:$F$147)</f>
        <v>0</v>
      </c>
      <c r="K50" s="30" t="n">
        <f aca="false">+(1+J50%)^(-G50/360)</f>
        <v>1</v>
      </c>
      <c r="L50" s="28" t="n">
        <f aca="false">+K50*I50</f>
        <v>561555.555555556</v>
      </c>
      <c r="N50" s="26" t="n">
        <f aca="false">+O49</f>
        <v>45754</v>
      </c>
      <c r="O50" s="26" t="n">
        <f aca="false">+N50+28</f>
        <v>45782</v>
      </c>
      <c r="P50" s="27" t="n">
        <f aca="false">+O50-$E$4</f>
        <v>1316</v>
      </c>
      <c r="Q50" s="27" t="n">
        <f aca="false">100*(T49/T50-1)*360/28+$C$17%</f>
        <v>0</v>
      </c>
      <c r="R50" s="28" t="n">
        <f aca="false">+$C$5*Q50%*28/360</f>
        <v>0</v>
      </c>
      <c r="S50" s="29" t="n">
        <f aca="false">+INTERPLIN(P50,Hoja1!$B$18:$B$147,Hoja1!$F$18:$F$147)</f>
        <v>0</v>
      </c>
      <c r="T50" s="30" t="n">
        <f aca="false">+(1+S50%)^(-P50/360)</f>
        <v>1</v>
      </c>
      <c r="U50" s="28" t="n">
        <f aca="false">+T50*R50</f>
        <v>0</v>
      </c>
    </row>
    <row r="51" customFormat="false" ht="15" hidden="false" customHeight="false" outlineLevel="0" collapsed="false">
      <c r="E51" s="26" t="n">
        <f aca="false">+F50</f>
        <v>45782</v>
      </c>
      <c r="F51" s="26" t="n">
        <f aca="false">+E51+28</f>
        <v>45810</v>
      </c>
      <c r="G51" s="27" t="n">
        <f aca="false">+F51-$E$4</f>
        <v>1344</v>
      </c>
      <c r="H51" s="27" t="n">
        <f aca="false">+$C$12</f>
        <v>7.22</v>
      </c>
      <c r="I51" s="28" t="n">
        <f aca="false">+$C$5*H51%*28/360</f>
        <v>561555.555555556</v>
      </c>
      <c r="J51" s="29" t="n">
        <f aca="false">+INTERPLIN(G51,Hoja1!$B$18:$B$147,Hoja1!$F$18:$F$147)</f>
        <v>0</v>
      </c>
      <c r="K51" s="30" t="n">
        <f aca="false">+(1+J51%)^(-G51/360)</f>
        <v>1</v>
      </c>
      <c r="L51" s="28" t="n">
        <f aca="false">+K51*I51</f>
        <v>561555.555555556</v>
      </c>
      <c r="N51" s="26" t="n">
        <f aca="false">+O50</f>
        <v>45782</v>
      </c>
      <c r="O51" s="26" t="n">
        <f aca="false">+N51+28</f>
        <v>45810</v>
      </c>
      <c r="P51" s="27" t="n">
        <f aca="false">+O51-$E$4</f>
        <v>1344</v>
      </c>
      <c r="Q51" s="27" t="n">
        <f aca="false">100*(T50/T51-1)*360/28+$C$17%</f>
        <v>0</v>
      </c>
      <c r="R51" s="28" t="n">
        <f aca="false">+$C$5*Q51%*28/360</f>
        <v>0</v>
      </c>
      <c r="S51" s="29" t="n">
        <f aca="false">+INTERPLIN(P51,Hoja1!$B$18:$B$147,Hoja1!$F$18:$F$147)</f>
        <v>0</v>
      </c>
      <c r="T51" s="30" t="n">
        <f aca="false">+(1+S51%)^(-P51/360)</f>
        <v>1</v>
      </c>
      <c r="U51" s="28" t="n">
        <f aca="false">+T51*R51</f>
        <v>0</v>
      </c>
    </row>
    <row r="52" customFormat="false" ht="15" hidden="false" customHeight="false" outlineLevel="0" collapsed="false">
      <c r="E52" s="26" t="n">
        <f aca="false">+F51</f>
        <v>45810</v>
      </c>
      <c r="F52" s="26" t="n">
        <f aca="false">+E52+28</f>
        <v>45838</v>
      </c>
      <c r="G52" s="27" t="n">
        <f aca="false">+F52-$E$4</f>
        <v>1372</v>
      </c>
      <c r="H52" s="27" t="n">
        <f aca="false">+$C$12</f>
        <v>7.22</v>
      </c>
      <c r="I52" s="28" t="n">
        <f aca="false">+$C$5*H52%*28/360</f>
        <v>561555.555555556</v>
      </c>
      <c r="J52" s="29" t="n">
        <f aca="false">+INTERPLIN(G52,Hoja1!$B$18:$B$147,Hoja1!$F$18:$F$147)</f>
        <v>0</v>
      </c>
      <c r="K52" s="30" t="n">
        <f aca="false">+(1+J52%)^(-G52/360)</f>
        <v>1</v>
      </c>
      <c r="L52" s="28" t="n">
        <f aca="false">+K52*I52</f>
        <v>561555.555555556</v>
      </c>
      <c r="N52" s="26" t="n">
        <f aca="false">+O51</f>
        <v>45810</v>
      </c>
      <c r="O52" s="26" t="n">
        <f aca="false">+N52+28</f>
        <v>45838</v>
      </c>
      <c r="P52" s="27" t="n">
        <f aca="false">+O52-$E$4</f>
        <v>1372</v>
      </c>
      <c r="Q52" s="27" t="n">
        <f aca="false">100*(T51/T52-1)*360/28+$C$17%</f>
        <v>0</v>
      </c>
      <c r="R52" s="28" t="n">
        <f aca="false">+$C$5*Q52%*28/360</f>
        <v>0</v>
      </c>
      <c r="S52" s="29" t="n">
        <f aca="false">+INTERPLIN(P52,Hoja1!$B$18:$B$147,Hoja1!$F$18:$F$147)</f>
        <v>0</v>
      </c>
      <c r="T52" s="30" t="n">
        <f aca="false">+(1+S52%)^(-P52/360)</f>
        <v>1</v>
      </c>
      <c r="U52" s="28" t="n">
        <f aca="false">+T52*R52</f>
        <v>0</v>
      </c>
    </row>
    <row r="53" customFormat="false" ht="15" hidden="false" customHeight="false" outlineLevel="0" collapsed="false">
      <c r="E53" s="26" t="n">
        <f aca="false">+F52</f>
        <v>45838</v>
      </c>
      <c r="F53" s="26" t="n">
        <f aca="false">+E53+28</f>
        <v>45866</v>
      </c>
      <c r="G53" s="27" t="n">
        <f aca="false">+F53-$E$4</f>
        <v>1400</v>
      </c>
      <c r="H53" s="27" t="n">
        <f aca="false">+$C$12</f>
        <v>7.22</v>
      </c>
      <c r="I53" s="28" t="n">
        <f aca="false">+$C$5*H53%*28/360</f>
        <v>561555.555555556</v>
      </c>
      <c r="J53" s="29" t="n">
        <f aca="false">+INTERPLIN(G53,Hoja1!$B$18:$B$147,Hoja1!$F$18:$F$147)</f>
        <v>0</v>
      </c>
      <c r="K53" s="30" t="n">
        <f aca="false">+(1+J53%)^(-G53/360)</f>
        <v>1</v>
      </c>
      <c r="L53" s="28" t="n">
        <f aca="false">+K53*I53</f>
        <v>561555.555555556</v>
      </c>
      <c r="N53" s="26" t="n">
        <f aca="false">+O52</f>
        <v>45838</v>
      </c>
      <c r="O53" s="26" t="n">
        <f aca="false">+N53+28</f>
        <v>45866</v>
      </c>
      <c r="P53" s="27" t="n">
        <f aca="false">+O53-$E$4</f>
        <v>1400</v>
      </c>
      <c r="Q53" s="27" t="n">
        <f aca="false">100*(T52/T53-1)*360/28+$C$17%</f>
        <v>0</v>
      </c>
      <c r="R53" s="28" t="n">
        <f aca="false">+$C$5*Q53%*28/360</f>
        <v>0</v>
      </c>
      <c r="S53" s="29" t="n">
        <f aca="false">+INTERPLIN(P53,Hoja1!$B$18:$B$147,Hoja1!$F$18:$F$147)</f>
        <v>0</v>
      </c>
      <c r="T53" s="30" t="n">
        <f aca="false">+(1+S53%)^(-P53/360)</f>
        <v>1</v>
      </c>
      <c r="U53" s="28" t="n">
        <f aca="false">+T53*R53</f>
        <v>0</v>
      </c>
    </row>
    <row r="54" customFormat="false" ht="15" hidden="false" customHeight="false" outlineLevel="0" collapsed="false">
      <c r="E54" s="26" t="n">
        <f aca="false">+F53</f>
        <v>45866</v>
      </c>
      <c r="F54" s="26" t="n">
        <f aca="false">+E54+28</f>
        <v>45894</v>
      </c>
      <c r="G54" s="27" t="n">
        <f aca="false">+F54-$E$4</f>
        <v>1428</v>
      </c>
      <c r="H54" s="27" t="n">
        <f aca="false">+$C$12</f>
        <v>7.22</v>
      </c>
      <c r="I54" s="28" t="n">
        <f aca="false">+$C$5*H54%*28/360</f>
        <v>561555.555555556</v>
      </c>
      <c r="J54" s="29" t="n">
        <f aca="false">+INTERPLIN(G54,Hoja1!$B$18:$B$147,Hoja1!$F$18:$F$147)</f>
        <v>0</v>
      </c>
      <c r="K54" s="30" t="n">
        <f aca="false">+(1+J54%)^(-G54/360)</f>
        <v>1</v>
      </c>
      <c r="L54" s="28" t="n">
        <f aca="false">+K54*I54</f>
        <v>561555.555555556</v>
      </c>
      <c r="N54" s="26" t="n">
        <f aca="false">+O53</f>
        <v>45866</v>
      </c>
      <c r="O54" s="26" t="n">
        <f aca="false">+N54+28</f>
        <v>45894</v>
      </c>
      <c r="P54" s="27" t="n">
        <f aca="false">+O54-$E$4</f>
        <v>1428</v>
      </c>
      <c r="Q54" s="27" t="n">
        <f aca="false">100*(T53/T54-1)*360/28+$C$17%</f>
        <v>0</v>
      </c>
      <c r="R54" s="28" t="n">
        <f aca="false">+$C$5*Q54%*28/360</f>
        <v>0</v>
      </c>
      <c r="S54" s="29" t="n">
        <f aca="false">+INTERPLIN(P54,Hoja1!$B$18:$B$147,Hoja1!$F$18:$F$147)</f>
        <v>0</v>
      </c>
      <c r="T54" s="30" t="n">
        <f aca="false">+(1+S54%)^(-P54/360)</f>
        <v>1</v>
      </c>
      <c r="U54" s="28" t="n">
        <f aca="false">+T54*R54</f>
        <v>0</v>
      </c>
    </row>
    <row r="55" customFormat="false" ht="15" hidden="false" customHeight="false" outlineLevel="0" collapsed="false">
      <c r="E55" s="26" t="n">
        <f aca="false">+F54</f>
        <v>45894</v>
      </c>
      <c r="F55" s="26" t="n">
        <f aca="false">+E55+28</f>
        <v>45922</v>
      </c>
      <c r="G55" s="27" t="n">
        <f aca="false">+F55-$E$4</f>
        <v>1456</v>
      </c>
      <c r="H55" s="27" t="n">
        <f aca="false">+$C$12</f>
        <v>7.22</v>
      </c>
      <c r="I55" s="28" t="n">
        <f aca="false">+$C$5*H55%*28/360</f>
        <v>561555.555555556</v>
      </c>
      <c r="J55" s="29" t="n">
        <f aca="false">+INTERPLIN(G55,Hoja1!$B$18:$B$147,Hoja1!$F$18:$F$147)</f>
        <v>0</v>
      </c>
      <c r="K55" s="30" t="n">
        <f aca="false">+(1+J55%)^(-G55/360)</f>
        <v>1</v>
      </c>
      <c r="L55" s="28" t="n">
        <f aca="false">+K55*I55</f>
        <v>561555.555555556</v>
      </c>
      <c r="N55" s="26" t="n">
        <f aca="false">+O54</f>
        <v>45894</v>
      </c>
      <c r="O55" s="26" t="n">
        <f aca="false">+N55+28</f>
        <v>45922</v>
      </c>
      <c r="P55" s="27" t="n">
        <f aca="false">+O55-$E$4</f>
        <v>1456</v>
      </c>
      <c r="Q55" s="27" t="n">
        <f aca="false">100*(T54/T55-1)*360/28+$C$17%</f>
        <v>0</v>
      </c>
      <c r="R55" s="28" t="n">
        <f aca="false">+$C$5*Q55%*28/360</f>
        <v>0</v>
      </c>
      <c r="S55" s="29" t="n">
        <f aca="false">+INTERPLIN(P55,Hoja1!$B$18:$B$147,Hoja1!$F$18:$F$147)</f>
        <v>0</v>
      </c>
      <c r="T55" s="30" t="n">
        <f aca="false">+(1+S55%)^(-P55/360)</f>
        <v>1</v>
      </c>
      <c r="U55" s="28" t="n">
        <f aca="false">+T55*R55</f>
        <v>0</v>
      </c>
    </row>
    <row r="56" customFormat="false" ht="15" hidden="false" customHeight="false" outlineLevel="0" collapsed="false">
      <c r="E56" s="26" t="n">
        <f aca="false">+F55</f>
        <v>45922</v>
      </c>
      <c r="F56" s="26" t="n">
        <f aca="false">+E56+28</f>
        <v>45950</v>
      </c>
      <c r="G56" s="27" t="n">
        <f aca="false">+F56-$E$4</f>
        <v>1484</v>
      </c>
      <c r="H56" s="27" t="n">
        <f aca="false">+$C$12</f>
        <v>7.22</v>
      </c>
      <c r="I56" s="28" t="n">
        <f aca="false">+$C$5*H56%*28/360</f>
        <v>561555.555555556</v>
      </c>
      <c r="J56" s="29" t="n">
        <f aca="false">+INTERPLIN(G56,Hoja1!$B$18:$B$147,Hoja1!$F$18:$F$147)</f>
        <v>0</v>
      </c>
      <c r="K56" s="30" t="n">
        <f aca="false">+(1+J56%)^(-G56/360)</f>
        <v>1</v>
      </c>
      <c r="L56" s="28" t="n">
        <f aca="false">+K56*I56</f>
        <v>561555.555555556</v>
      </c>
      <c r="N56" s="26" t="n">
        <f aca="false">+O55</f>
        <v>45922</v>
      </c>
      <c r="O56" s="26" t="n">
        <f aca="false">+N56+28</f>
        <v>45950</v>
      </c>
      <c r="P56" s="27" t="n">
        <f aca="false">+O56-$E$4</f>
        <v>1484</v>
      </c>
      <c r="Q56" s="27" t="n">
        <f aca="false">100*(T55/T56-1)*360/28+$C$17%</f>
        <v>0</v>
      </c>
      <c r="R56" s="28" t="n">
        <f aca="false">+$C$5*Q56%*28/360</f>
        <v>0</v>
      </c>
      <c r="S56" s="29" t="n">
        <f aca="false">+INTERPLIN(P56,Hoja1!$B$18:$B$147,Hoja1!$F$18:$F$147)</f>
        <v>0</v>
      </c>
      <c r="T56" s="30" t="n">
        <f aca="false">+(1+S56%)^(-P56/360)</f>
        <v>1</v>
      </c>
      <c r="U56" s="28" t="n">
        <f aca="false">+T56*R56</f>
        <v>0</v>
      </c>
    </row>
    <row r="57" customFormat="false" ht="15" hidden="false" customHeight="false" outlineLevel="0" collapsed="false">
      <c r="E57" s="26" t="n">
        <f aca="false">+F56</f>
        <v>45950</v>
      </c>
      <c r="F57" s="26" t="n">
        <f aca="false">+E57+28</f>
        <v>45978</v>
      </c>
      <c r="G57" s="27" t="n">
        <f aca="false">+F57-$E$4</f>
        <v>1512</v>
      </c>
      <c r="H57" s="27" t="n">
        <f aca="false">+$C$12</f>
        <v>7.22</v>
      </c>
      <c r="I57" s="28" t="n">
        <f aca="false">+$C$5*H57%*28/360</f>
        <v>561555.555555556</v>
      </c>
      <c r="J57" s="29" t="n">
        <f aca="false">+INTERPLIN(G57,Hoja1!$B$18:$B$147,Hoja1!$F$18:$F$147)</f>
        <v>0</v>
      </c>
      <c r="K57" s="30" t="n">
        <f aca="false">+(1+J57%)^(-G57/360)</f>
        <v>1</v>
      </c>
      <c r="L57" s="28" t="n">
        <f aca="false">+K57*I57</f>
        <v>561555.555555556</v>
      </c>
      <c r="N57" s="26" t="n">
        <f aca="false">+O56</f>
        <v>45950</v>
      </c>
      <c r="O57" s="26" t="n">
        <f aca="false">+N57+28</f>
        <v>45978</v>
      </c>
      <c r="P57" s="27" t="n">
        <f aca="false">+O57-$E$4</f>
        <v>1512</v>
      </c>
      <c r="Q57" s="27" t="n">
        <f aca="false">100*(T56/T57-1)*360/28+$C$17%</f>
        <v>0</v>
      </c>
      <c r="R57" s="28" t="n">
        <f aca="false">+$C$5*Q57%*28/360</f>
        <v>0</v>
      </c>
      <c r="S57" s="29" t="n">
        <f aca="false">+INTERPLIN(P57,Hoja1!$B$18:$B$147,Hoja1!$F$18:$F$147)</f>
        <v>0</v>
      </c>
      <c r="T57" s="30" t="n">
        <f aca="false">+(1+S57%)^(-P57/360)</f>
        <v>1</v>
      </c>
      <c r="U57" s="28" t="n">
        <f aca="false">+T57*R57</f>
        <v>0</v>
      </c>
    </row>
    <row r="58" customFormat="false" ht="15" hidden="false" customHeight="false" outlineLevel="0" collapsed="false">
      <c r="E58" s="26" t="n">
        <f aca="false">+F57</f>
        <v>45978</v>
      </c>
      <c r="F58" s="26" t="n">
        <f aca="false">+E58+28</f>
        <v>46006</v>
      </c>
      <c r="G58" s="27" t="n">
        <f aca="false">+F58-$E$4</f>
        <v>1540</v>
      </c>
      <c r="H58" s="27" t="n">
        <f aca="false">+$C$12</f>
        <v>7.22</v>
      </c>
      <c r="I58" s="28" t="n">
        <f aca="false">+$C$5*H58%*28/360</f>
        <v>561555.555555556</v>
      </c>
      <c r="J58" s="29" t="n">
        <f aca="false">+INTERPLIN(G58,Hoja1!$B$18:$B$147,Hoja1!$F$18:$F$147)</f>
        <v>0</v>
      </c>
      <c r="K58" s="30" t="n">
        <f aca="false">+(1+J58%)^(-G58/360)</f>
        <v>1</v>
      </c>
      <c r="L58" s="28" t="n">
        <f aca="false">+K58*I58</f>
        <v>561555.555555556</v>
      </c>
      <c r="N58" s="26" t="n">
        <f aca="false">+O57</f>
        <v>45978</v>
      </c>
      <c r="O58" s="26" t="n">
        <f aca="false">+N58+28</f>
        <v>46006</v>
      </c>
      <c r="P58" s="27" t="n">
        <f aca="false">+O58-$E$4</f>
        <v>1540</v>
      </c>
      <c r="Q58" s="27" t="n">
        <f aca="false">100*(T57/T58-1)*360/28+$C$17%</f>
        <v>0</v>
      </c>
      <c r="R58" s="28" t="n">
        <f aca="false">+$C$5*Q58%*28/360</f>
        <v>0</v>
      </c>
      <c r="S58" s="29" t="n">
        <f aca="false">+INTERPLIN(P58,Hoja1!$B$18:$B$147,Hoja1!$F$18:$F$147)</f>
        <v>0</v>
      </c>
      <c r="T58" s="30" t="n">
        <f aca="false">+(1+S58%)^(-P58/360)</f>
        <v>1</v>
      </c>
      <c r="U58" s="28" t="n">
        <f aca="false">+T58*R58</f>
        <v>0</v>
      </c>
    </row>
    <row r="59" customFormat="false" ht="15" hidden="false" customHeight="false" outlineLevel="0" collapsed="false">
      <c r="E59" s="26" t="n">
        <f aca="false">+F58</f>
        <v>46006</v>
      </c>
      <c r="F59" s="26" t="n">
        <f aca="false">+E59+28</f>
        <v>46034</v>
      </c>
      <c r="G59" s="27" t="n">
        <f aca="false">+F59-$E$4</f>
        <v>1568</v>
      </c>
      <c r="H59" s="27" t="n">
        <f aca="false">+$C$12</f>
        <v>7.22</v>
      </c>
      <c r="I59" s="28" t="n">
        <f aca="false">+$C$5*H59%*28/360</f>
        <v>561555.555555556</v>
      </c>
      <c r="J59" s="29" t="n">
        <f aca="false">+INTERPLIN(G59,Hoja1!$B$18:$B$147,Hoja1!$F$18:$F$147)</f>
        <v>0</v>
      </c>
      <c r="K59" s="30" t="n">
        <f aca="false">+(1+J59%)^(-G59/360)</f>
        <v>1</v>
      </c>
      <c r="L59" s="28" t="n">
        <f aca="false">+K59*I59</f>
        <v>561555.555555556</v>
      </c>
      <c r="N59" s="26" t="n">
        <f aca="false">+O58</f>
        <v>46006</v>
      </c>
      <c r="O59" s="26" t="n">
        <f aca="false">+N59+28</f>
        <v>46034</v>
      </c>
      <c r="P59" s="27" t="n">
        <f aca="false">+O59-$E$4</f>
        <v>1568</v>
      </c>
      <c r="Q59" s="27" t="n">
        <f aca="false">100*(T58/T59-1)*360/28+$C$17%</f>
        <v>0</v>
      </c>
      <c r="R59" s="28" t="n">
        <f aca="false">+$C$5*Q59%*28/360</f>
        <v>0</v>
      </c>
      <c r="S59" s="29" t="n">
        <f aca="false">+INTERPLIN(P59,Hoja1!$B$18:$B$147,Hoja1!$F$18:$F$147)</f>
        <v>0</v>
      </c>
      <c r="T59" s="30" t="n">
        <f aca="false">+(1+S59%)^(-P59/360)</f>
        <v>1</v>
      </c>
      <c r="U59" s="28" t="n">
        <f aca="false">+T59*R59</f>
        <v>0</v>
      </c>
    </row>
    <row r="60" customFormat="false" ht="15" hidden="false" customHeight="false" outlineLevel="0" collapsed="false">
      <c r="E60" s="26" t="n">
        <f aca="false">+F59</f>
        <v>46034</v>
      </c>
      <c r="F60" s="26" t="n">
        <f aca="false">+E60+28</f>
        <v>46062</v>
      </c>
      <c r="G60" s="27" t="n">
        <f aca="false">+F60-$E$4</f>
        <v>1596</v>
      </c>
      <c r="H60" s="27" t="n">
        <f aca="false">+$C$12</f>
        <v>7.22</v>
      </c>
      <c r="I60" s="28" t="n">
        <f aca="false">+$C$5*H60%*28/360</f>
        <v>561555.555555556</v>
      </c>
      <c r="J60" s="29" t="n">
        <f aca="false">+INTERPLIN(G60,Hoja1!$B$18:$B$147,Hoja1!$F$18:$F$147)</f>
        <v>0</v>
      </c>
      <c r="K60" s="30" t="n">
        <f aca="false">+(1+J60%)^(-G60/360)</f>
        <v>1</v>
      </c>
      <c r="L60" s="28" t="n">
        <f aca="false">+K60*I60</f>
        <v>561555.555555556</v>
      </c>
      <c r="N60" s="26" t="n">
        <f aca="false">+O59</f>
        <v>46034</v>
      </c>
      <c r="O60" s="26" t="n">
        <f aca="false">+N60+28</f>
        <v>46062</v>
      </c>
      <c r="P60" s="27" t="n">
        <f aca="false">+O60-$E$4</f>
        <v>1596</v>
      </c>
      <c r="Q60" s="27" t="n">
        <f aca="false">100*(T59/T60-1)*360/28+$C$17%</f>
        <v>0</v>
      </c>
      <c r="R60" s="28" t="n">
        <f aca="false">+$C$5*Q60%*28/360</f>
        <v>0</v>
      </c>
      <c r="S60" s="29" t="n">
        <f aca="false">+INTERPLIN(P60,Hoja1!$B$18:$B$147,Hoja1!$F$18:$F$147)</f>
        <v>0</v>
      </c>
      <c r="T60" s="30" t="n">
        <f aca="false">+(1+S60%)^(-P60/360)</f>
        <v>1</v>
      </c>
      <c r="U60" s="28" t="n">
        <f aca="false">+T60*R60</f>
        <v>0</v>
      </c>
    </row>
    <row r="61" customFormat="false" ht="15" hidden="false" customHeight="false" outlineLevel="0" collapsed="false">
      <c r="E61" s="26" t="n">
        <f aca="false">+F60</f>
        <v>46062</v>
      </c>
      <c r="F61" s="26" t="n">
        <f aca="false">+E61+28</f>
        <v>46090</v>
      </c>
      <c r="G61" s="27" t="n">
        <f aca="false">+F61-$E$4</f>
        <v>1624</v>
      </c>
      <c r="H61" s="27" t="n">
        <f aca="false">+$C$12</f>
        <v>7.22</v>
      </c>
      <c r="I61" s="28" t="n">
        <f aca="false">+$C$5*H61%*28/360</f>
        <v>561555.555555556</v>
      </c>
      <c r="J61" s="29" t="n">
        <f aca="false">+INTERPLIN(G61,Hoja1!$B$18:$B$147,Hoja1!$F$18:$F$147)</f>
        <v>0</v>
      </c>
      <c r="K61" s="30" t="n">
        <f aca="false">+(1+J61%)^(-G61/360)</f>
        <v>1</v>
      </c>
      <c r="L61" s="28" t="n">
        <f aca="false">+K61*I61</f>
        <v>561555.555555556</v>
      </c>
      <c r="N61" s="26" t="n">
        <f aca="false">+O60</f>
        <v>46062</v>
      </c>
      <c r="O61" s="26" t="n">
        <f aca="false">+N61+28</f>
        <v>46090</v>
      </c>
      <c r="P61" s="27" t="n">
        <f aca="false">+O61-$E$4</f>
        <v>1624</v>
      </c>
      <c r="Q61" s="27" t="n">
        <f aca="false">100*(T60/T61-1)*360/28+$C$17%</f>
        <v>0</v>
      </c>
      <c r="R61" s="28" t="n">
        <f aca="false">+$C$5*Q61%*28/360</f>
        <v>0</v>
      </c>
      <c r="S61" s="29" t="n">
        <f aca="false">+INTERPLIN(P61,Hoja1!$B$18:$B$147,Hoja1!$F$18:$F$147)</f>
        <v>0</v>
      </c>
      <c r="T61" s="30" t="n">
        <f aca="false">+(1+S61%)^(-P61/360)</f>
        <v>1</v>
      </c>
      <c r="U61" s="28" t="n">
        <f aca="false">+T61*R61</f>
        <v>0</v>
      </c>
    </row>
    <row r="62" customFormat="false" ht="15" hidden="false" customHeight="false" outlineLevel="0" collapsed="false">
      <c r="E62" s="26" t="n">
        <f aca="false">+F61</f>
        <v>46090</v>
      </c>
      <c r="F62" s="26" t="n">
        <f aca="false">+E62+28</f>
        <v>46118</v>
      </c>
      <c r="G62" s="27" t="n">
        <f aca="false">+F62-$E$4</f>
        <v>1652</v>
      </c>
      <c r="H62" s="27" t="n">
        <f aca="false">+$C$12</f>
        <v>7.22</v>
      </c>
      <c r="I62" s="28" t="n">
        <f aca="false">+$C$5*H62%*28/360</f>
        <v>561555.555555556</v>
      </c>
      <c r="J62" s="29" t="n">
        <f aca="false">+INTERPLIN(G62,Hoja1!$B$18:$B$147,Hoja1!$F$18:$F$147)</f>
        <v>0</v>
      </c>
      <c r="K62" s="30" t="n">
        <f aca="false">+(1+J62%)^(-G62/360)</f>
        <v>1</v>
      </c>
      <c r="L62" s="28" t="n">
        <f aca="false">+K62*I62</f>
        <v>561555.555555556</v>
      </c>
      <c r="N62" s="26" t="n">
        <f aca="false">+O61</f>
        <v>46090</v>
      </c>
      <c r="O62" s="26" t="n">
        <f aca="false">+N62+28</f>
        <v>46118</v>
      </c>
      <c r="P62" s="27" t="n">
        <f aca="false">+O62-$E$4</f>
        <v>1652</v>
      </c>
      <c r="Q62" s="27" t="n">
        <f aca="false">100*(T61/T62-1)*360/28+$C$17%</f>
        <v>0</v>
      </c>
      <c r="R62" s="28" t="n">
        <f aca="false">+$C$5*Q62%*28/360</f>
        <v>0</v>
      </c>
      <c r="S62" s="29" t="n">
        <f aca="false">+INTERPLIN(P62,Hoja1!$B$18:$B$147,Hoja1!$F$18:$F$147)</f>
        <v>0</v>
      </c>
      <c r="T62" s="30" t="n">
        <f aca="false">+(1+S62%)^(-P62/360)</f>
        <v>1</v>
      </c>
      <c r="U62" s="28" t="n">
        <f aca="false">+T62*R62</f>
        <v>0</v>
      </c>
    </row>
    <row r="63" customFormat="false" ht="15" hidden="false" customHeight="false" outlineLevel="0" collapsed="false">
      <c r="E63" s="26" t="n">
        <f aca="false">+F62</f>
        <v>46118</v>
      </c>
      <c r="F63" s="26" t="n">
        <f aca="false">+E63+28</f>
        <v>46146</v>
      </c>
      <c r="G63" s="27" t="n">
        <f aca="false">+F63-$E$4</f>
        <v>1680</v>
      </c>
      <c r="H63" s="27" t="n">
        <f aca="false">+$C$12</f>
        <v>7.22</v>
      </c>
      <c r="I63" s="28" t="n">
        <f aca="false">+$C$5*H63%*28/360</f>
        <v>561555.555555556</v>
      </c>
      <c r="J63" s="29" t="n">
        <f aca="false">+INTERPLIN(G63,Hoja1!$B$18:$B$147,Hoja1!$F$18:$F$147)</f>
        <v>0</v>
      </c>
      <c r="K63" s="30" t="n">
        <f aca="false">+(1+J63%)^(-G63/360)</f>
        <v>1</v>
      </c>
      <c r="L63" s="28" t="n">
        <f aca="false">+K63*I63</f>
        <v>561555.555555556</v>
      </c>
      <c r="N63" s="26" t="n">
        <f aca="false">+O62</f>
        <v>46118</v>
      </c>
      <c r="O63" s="26" t="n">
        <f aca="false">+N63+28</f>
        <v>46146</v>
      </c>
      <c r="P63" s="27" t="n">
        <f aca="false">+O63-$E$4</f>
        <v>1680</v>
      </c>
      <c r="Q63" s="27" t="n">
        <f aca="false">100*(T62/T63-1)*360/28+$C$17%</f>
        <v>0</v>
      </c>
      <c r="R63" s="28" t="n">
        <f aca="false">+$C$5*Q63%*28/360</f>
        <v>0</v>
      </c>
      <c r="S63" s="29" t="n">
        <f aca="false">+INTERPLIN(P63,Hoja1!$B$18:$B$147,Hoja1!$F$18:$F$147)</f>
        <v>0</v>
      </c>
      <c r="T63" s="30" t="n">
        <f aca="false">+(1+S63%)^(-P63/360)</f>
        <v>1</v>
      </c>
      <c r="U63" s="28" t="n">
        <f aca="false">+T63*R63</f>
        <v>0</v>
      </c>
    </row>
    <row r="64" customFormat="false" ht="15" hidden="false" customHeight="false" outlineLevel="0" collapsed="false">
      <c r="E64" s="26" t="n">
        <f aca="false">+F63</f>
        <v>46146</v>
      </c>
      <c r="F64" s="26" t="n">
        <f aca="false">+E64+28</f>
        <v>46174</v>
      </c>
      <c r="G64" s="27" t="n">
        <f aca="false">+F64-$E$4</f>
        <v>1708</v>
      </c>
      <c r="H64" s="27" t="n">
        <f aca="false">+$C$12</f>
        <v>7.22</v>
      </c>
      <c r="I64" s="28" t="n">
        <f aca="false">+$C$5*H64%*28/360</f>
        <v>561555.555555556</v>
      </c>
      <c r="J64" s="29" t="n">
        <f aca="false">+INTERPLIN(G64,Hoja1!$B$18:$B$147,Hoja1!$F$18:$F$147)</f>
        <v>0</v>
      </c>
      <c r="K64" s="30" t="n">
        <f aca="false">+(1+J64%)^(-G64/360)</f>
        <v>1</v>
      </c>
      <c r="L64" s="28" t="n">
        <f aca="false">+K64*I64</f>
        <v>561555.555555556</v>
      </c>
      <c r="N64" s="26" t="n">
        <f aca="false">+O63</f>
        <v>46146</v>
      </c>
      <c r="O64" s="26" t="n">
        <f aca="false">+N64+28</f>
        <v>46174</v>
      </c>
      <c r="P64" s="27" t="n">
        <f aca="false">+O64-$E$4</f>
        <v>1708</v>
      </c>
      <c r="Q64" s="27" t="n">
        <f aca="false">100*(T63/T64-1)*360/28+$C$17%</f>
        <v>0</v>
      </c>
      <c r="R64" s="28" t="n">
        <f aca="false">+$C$5*Q64%*28/360</f>
        <v>0</v>
      </c>
      <c r="S64" s="29" t="n">
        <f aca="false">+INTERPLIN(P64,Hoja1!$B$18:$B$147,Hoja1!$F$18:$F$147)</f>
        <v>0</v>
      </c>
      <c r="T64" s="30" t="n">
        <f aca="false">+(1+S64%)^(-P64/360)</f>
        <v>1</v>
      </c>
      <c r="U64" s="28" t="n">
        <f aca="false">+T64*R64</f>
        <v>0</v>
      </c>
    </row>
    <row r="65" customFormat="false" ht="15" hidden="false" customHeight="false" outlineLevel="0" collapsed="false">
      <c r="E65" s="26" t="n">
        <f aca="false">+F64</f>
        <v>46174</v>
      </c>
      <c r="F65" s="26" t="n">
        <f aca="false">+E65+28</f>
        <v>46202</v>
      </c>
      <c r="G65" s="27" t="n">
        <f aca="false">+F65-$E$4</f>
        <v>1736</v>
      </c>
      <c r="H65" s="27" t="n">
        <f aca="false">+$C$12</f>
        <v>7.22</v>
      </c>
      <c r="I65" s="28" t="n">
        <f aca="false">+$C$5*H65%*28/360</f>
        <v>561555.555555556</v>
      </c>
      <c r="J65" s="29" t="n">
        <f aca="false">+INTERPLIN(G65,Hoja1!$B$18:$B$147,Hoja1!$F$18:$F$147)</f>
        <v>0</v>
      </c>
      <c r="K65" s="30" t="n">
        <f aca="false">+(1+J65%)^(-G65/360)</f>
        <v>1</v>
      </c>
      <c r="L65" s="28" t="n">
        <f aca="false">+K65*I65</f>
        <v>561555.555555556</v>
      </c>
      <c r="N65" s="26" t="n">
        <f aca="false">+O64</f>
        <v>46174</v>
      </c>
      <c r="O65" s="26" t="n">
        <f aca="false">+N65+28</f>
        <v>46202</v>
      </c>
      <c r="P65" s="27" t="n">
        <f aca="false">+O65-$E$4</f>
        <v>1736</v>
      </c>
      <c r="Q65" s="27" t="n">
        <f aca="false">100*(T64/T65-1)*360/28+$C$17%</f>
        <v>0</v>
      </c>
      <c r="R65" s="28" t="n">
        <f aca="false">+$C$5*Q65%*28/360</f>
        <v>0</v>
      </c>
      <c r="S65" s="29" t="n">
        <f aca="false">+INTERPLIN(P65,Hoja1!$B$18:$B$147,Hoja1!$F$18:$F$147)</f>
        <v>0</v>
      </c>
      <c r="T65" s="30" t="n">
        <f aca="false">+(1+S65%)^(-P65/360)</f>
        <v>1</v>
      </c>
      <c r="U65" s="28" t="n">
        <f aca="false">+T65*R65</f>
        <v>0</v>
      </c>
    </row>
    <row r="66" customFormat="false" ht="15" hidden="false" customHeight="false" outlineLevel="0" collapsed="false">
      <c r="E66" s="26" t="n">
        <f aca="false">+F65</f>
        <v>46202</v>
      </c>
      <c r="F66" s="26" t="n">
        <f aca="false">+E66+28</f>
        <v>46230</v>
      </c>
      <c r="G66" s="27" t="n">
        <f aca="false">+F66-$E$4</f>
        <v>1764</v>
      </c>
      <c r="H66" s="27" t="n">
        <f aca="false">+$C$12</f>
        <v>7.22</v>
      </c>
      <c r="I66" s="28" t="n">
        <f aca="false">+$C$5*H66%*28/360</f>
        <v>561555.555555556</v>
      </c>
      <c r="J66" s="29" t="n">
        <f aca="false">+INTERPLIN(G66,Hoja1!$B$18:$B$147,Hoja1!$F$18:$F$147)</f>
        <v>0</v>
      </c>
      <c r="K66" s="30" t="n">
        <f aca="false">+(1+J66%)^(-G66/360)</f>
        <v>1</v>
      </c>
      <c r="L66" s="28" t="n">
        <f aca="false">+K66*I66</f>
        <v>561555.555555556</v>
      </c>
      <c r="N66" s="26" t="n">
        <f aca="false">+O65</f>
        <v>46202</v>
      </c>
      <c r="O66" s="26" t="n">
        <f aca="false">+N66+28</f>
        <v>46230</v>
      </c>
      <c r="P66" s="27" t="n">
        <f aca="false">+O66-$E$4</f>
        <v>1764</v>
      </c>
      <c r="Q66" s="27" t="n">
        <f aca="false">100*(T65/T66-1)*360/28+$C$17%</f>
        <v>0</v>
      </c>
      <c r="R66" s="28" t="n">
        <f aca="false">+$C$5*Q66%*28/360</f>
        <v>0</v>
      </c>
      <c r="S66" s="29" t="n">
        <f aca="false">+INTERPLIN(P66,Hoja1!$B$18:$B$147,Hoja1!$F$18:$F$147)</f>
        <v>0</v>
      </c>
      <c r="T66" s="30" t="n">
        <f aca="false">+(1+S66%)^(-P66/360)</f>
        <v>1</v>
      </c>
      <c r="U66" s="28" t="n">
        <f aca="false">+T66*R66</f>
        <v>0</v>
      </c>
    </row>
    <row r="67" customFormat="false" ht="15" hidden="false" customHeight="false" outlineLevel="0" collapsed="false">
      <c r="E67" s="26" t="n">
        <f aca="false">+F66</f>
        <v>46230</v>
      </c>
      <c r="F67" s="26" t="n">
        <f aca="false">+E67+28</f>
        <v>46258</v>
      </c>
      <c r="G67" s="27" t="n">
        <f aca="false">+F67-$E$4</f>
        <v>1792</v>
      </c>
      <c r="H67" s="27" t="n">
        <f aca="false">+$C$12</f>
        <v>7.22</v>
      </c>
      <c r="I67" s="28" t="n">
        <f aca="false">+$C$5*H67%*28/360</f>
        <v>561555.555555556</v>
      </c>
      <c r="J67" s="29" t="n">
        <f aca="false">+INTERPLIN(G67,Hoja1!$B$18:$B$147,Hoja1!$F$18:$F$147)</f>
        <v>0</v>
      </c>
      <c r="K67" s="30" t="n">
        <f aca="false">+(1+J67%)^(-G67/360)</f>
        <v>1</v>
      </c>
      <c r="L67" s="28" t="n">
        <f aca="false">+K67*I67</f>
        <v>561555.555555556</v>
      </c>
      <c r="N67" s="26" t="n">
        <f aca="false">+O66</f>
        <v>46230</v>
      </c>
      <c r="O67" s="26" t="n">
        <f aca="false">+N67+28</f>
        <v>46258</v>
      </c>
      <c r="P67" s="27" t="n">
        <f aca="false">+O67-$E$4</f>
        <v>1792</v>
      </c>
      <c r="Q67" s="27" t="n">
        <f aca="false">100*(T66/T67-1)*360/28+$C$17%</f>
        <v>0</v>
      </c>
      <c r="R67" s="28" t="n">
        <f aca="false">+$C$5*Q67%*28/360</f>
        <v>0</v>
      </c>
      <c r="S67" s="29" t="n">
        <f aca="false">+INTERPLIN(P67,Hoja1!$B$18:$B$147,Hoja1!$F$18:$F$147)</f>
        <v>0</v>
      </c>
      <c r="T67" s="30" t="n">
        <f aca="false">+(1+S67%)^(-P67/360)</f>
        <v>1</v>
      </c>
      <c r="U67" s="28" t="n">
        <f aca="false">+T67*R67</f>
        <v>0</v>
      </c>
    </row>
    <row r="68" customFormat="false" ht="15" hidden="false" customHeight="false" outlineLevel="0" collapsed="false">
      <c r="E68" s="26" t="n">
        <f aca="false">+F67</f>
        <v>46258</v>
      </c>
      <c r="F68" s="26" t="n">
        <f aca="false">+E68+28</f>
        <v>46286</v>
      </c>
      <c r="G68" s="27" t="n">
        <f aca="false">+F68-$E$4</f>
        <v>1820</v>
      </c>
      <c r="H68" s="27" t="n">
        <f aca="false">+$C$12</f>
        <v>7.22</v>
      </c>
      <c r="I68" s="28" t="n">
        <f aca="false">+$C$5*H68%*28/360</f>
        <v>561555.555555556</v>
      </c>
      <c r="J68" s="29" t="n">
        <f aca="false">+INTERPLIN(G68,Hoja1!$B$18:$B$147,Hoja1!$F$18:$F$147)</f>
        <v>0</v>
      </c>
      <c r="K68" s="30" t="n">
        <f aca="false">+(1+J68%)^(-G68/360)</f>
        <v>1</v>
      </c>
      <c r="L68" s="28" t="n">
        <f aca="false">+K68*I68</f>
        <v>561555.555555556</v>
      </c>
      <c r="N68" s="26" t="n">
        <f aca="false">+O67</f>
        <v>46258</v>
      </c>
      <c r="O68" s="26" t="n">
        <f aca="false">+N68+28</f>
        <v>46286</v>
      </c>
      <c r="P68" s="27" t="n">
        <f aca="false">+O68-$E$4</f>
        <v>1820</v>
      </c>
      <c r="Q68" s="27" t="n">
        <f aca="false">100*(T67/T68-1)*360/28+$C$17%</f>
        <v>0</v>
      </c>
      <c r="R68" s="28" t="n">
        <f aca="false">+$C$5*Q68%*28/360</f>
        <v>0</v>
      </c>
      <c r="S68" s="29" t="n">
        <f aca="false">+INTERPLIN(P68,Hoja1!$B$18:$B$147,Hoja1!$F$18:$F$147)</f>
        <v>0</v>
      </c>
      <c r="T68" s="30" t="n">
        <f aca="false">+(1+S68%)^(-P68/360)</f>
        <v>1</v>
      </c>
      <c r="U68" s="28" t="n">
        <f aca="false">+T68*R68</f>
        <v>0</v>
      </c>
    </row>
    <row r="84" customFormat="false" ht="15" hidden="false" customHeight="false" outlineLevel="0" collapsed="false">
      <c r="C84" s="33"/>
      <c r="D84" s="33"/>
      <c r="E84" s="34"/>
    </row>
    <row r="85" customFormat="false" ht="15" hidden="false" customHeight="false" outlineLevel="0" collapsed="false">
      <c r="C85" s="33"/>
      <c r="D85" s="33"/>
      <c r="E85" s="34"/>
    </row>
    <row r="86" customFormat="false" ht="15" hidden="false" customHeight="false" outlineLevel="0" collapsed="false">
      <c r="C86" s="33"/>
      <c r="D86" s="33"/>
      <c r="E86" s="34"/>
    </row>
    <row r="87" customFormat="false" ht="15" hidden="false" customHeight="false" outlineLevel="0" collapsed="false">
      <c r="C87" s="33"/>
      <c r="D87" s="33"/>
      <c r="E87" s="34"/>
    </row>
    <row r="88" customFormat="false" ht="15" hidden="false" customHeight="false" outlineLevel="0" collapsed="false">
      <c r="C88" s="33"/>
      <c r="D88" s="33"/>
      <c r="E88" s="34"/>
    </row>
    <row r="89" customFormat="false" ht="15" hidden="false" customHeight="false" outlineLevel="0" collapsed="false">
      <c r="C89" s="33"/>
      <c r="D89" s="33"/>
      <c r="E89" s="34"/>
    </row>
    <row r="90" customFormat="false" ht="15" hidden="false" customHeight="false" outlineLevel="0" collapsed="false">
      <c r="C90" s="33"/>
      <c r="D90" s="33"/>
      <c r="E90" s="34"/>
    </row>
    <row r="91" customFormat="false" ht="15" hidden="false" customHeight="false" outlineLevel="0" collapsed="false">
      <c r="C91" s="33"/>
      <c r="D91" s="33"/>
      <c r="E91" s="34"/>
    </row>
    <row r="92" customFormat="false" ht="15" hidden="false" customHeight="false" outlineLevel="0" collapsed="false">
      <c r="C92" s="33"/>
      <c r="D92" s="33"/>
      <c r="E92" s="34"/>
    </row>
    <row r="93" customFormat="false" ht="15" hidden="false" customHeight="false" outlineLevel="0" collapsed="false">
      <c r="C93" s="33"/>
      <c r="D93" s="33"/>
      <c r="E93" s="34"/>
    </row>
    <row r="94" customFormat="false" ht="15" hidden="false" customHeight="false" outlineLevel="0" collapsed="false">
      <c r="C94" s="33"/>
      <c r="D94" s="33"/>
      <c r="E94" s="34"/>
    </row>
    <row r="95" customFormat="false" ht="15" hidden="false" customHeight="false" outlineLevel="0" collapsed="false">
      <c r="C95" s="33"/>
      <c r="D95" s="33"/>
      <c r="E95" s="34"/>
    </row>
    <row r="96" customFormat="false" ht="15" hidden="false" customHeight="false" outlineLevel="0" collapsed="false">
      <c r="C96" s="33"/>
      <c r="D96" s="33"/>
      <c r="E96" s="34"/>
    </row>
    <row r="97" customFormat="false" ht="15" hidden="false" customHeight="false" outlineLevel="0" collapsed="false">
      <c r="C97" s="33"/>
      <c r="D97" s="33"/>
      <c r="E97" s="34"/>
    </row>
    <row r="98" customFormat="false" ht="15" hidden="false" customHeight="false" outlineLevel="0" collapsed="false">
      <c r="C98" s="33"/>
      <c r="D98" s="33"/>
      <c r="E98" s="34"/>
    </row>
    <row r="99" customFormat="false" ht="15" hidden="false" customHeight="false" outlineLevel="0" collapsed="false">
      <c r="C99" s="33"/>
      <c r="D99" s="33"/>
      <c r="E99" s="34"/>
    </row>
    <row r="100" customFormat="false" ht="15" hidden="false" customHeight="false" outlineLevel="0" collapsed="false">
      <c r="C100" s="33"/>
      <c r="D100" s="33"/>
      <c r="E100" s="34"/>
    </row>
    <row r="101" customFormat="false" ht="15" hidden="false" customHeight="false" outlineLevel="0" collapsed="false">
      <c r="C101" s="33"/>
      <c r="D101" s="33"/>
      <c r="E101" s="34"/>
    </row>
    <row r="102" customFormat="false" ht="15" hidden="false" customHeight="false" outlineLevel="0" collapsed="false">
      <c r="C102" s="33"/>
      <c r="D102" s="33"/>
      <c r="E102" s="34"/>
    </row>
    <row r="103" customFormat="false" ht="15" hidden="false" customHeight="false" outlineLevel="0" collapsed="false">
      <c r="C103" s="33"/>
      <c r="D103" s="33"/>
      <c r="E103" s="34"/>
    </row>
    <row r="104" customFormat="false" ht="15" hidden="false" customHeight="false" outlineLevel="0" collapsed="false">
      <c r="C104" s="33"/>
      <c r="D104" s="33"/>
      <c r="E104" s="34"/>
    </row>
    <row r="105" customFormat="false" ht="15" hidden="false" customHeight="false" outlineLevel="0" collapsed="false">
      <c r="C105" s="33"/>
      <c r="D105" s="33"/>
      <c r="E105" s="34"/>
    </row>
    <row r="106" customFormat="false" ht="15" hidden="false" customHeight="false" outlineLevel="0" collapsed="false">
      <c r="C106" s="33"/>
      <c r="D106" s="33"/>
      <c r="E106" s="34"/>
    </row>
    <row r="107" customFormat="false" ht="15" hidden="false" customHeight="false" outlineLevel="0" collapsed="false">
      <c r="C107" s="33"/>
      <c r="D107" s="33"/>
      <c r="E107" s="34"/>
    </row>
    <row r="108" customFormat="false" ht="15" hidden="false" customHeight="false" outlineLevel="0" collapsed="false">
      <c r="C108" s="33"/>
      <c r="D108" s="33"/>
      <c r="E108" s="34"/>
    </row>
    <row r="109" customFormat="false" ht="15" hidden="false" customHeight="false" outlineLevel="0" collapsed="false">
      <c r="C109" s="33"/>
      <c r="D109" s="33"/>
      <c r="E109" s="34"/>
    </row>
    <row r="110" customFormat="false" ht="15" hidden="false" customHeight="false" outlineLevel="0" collapsed="false">
      <c r="C110" s="33"/>
      <c r="D110" s="33"/>
      <c r="E110" s="34"/>
    </row>
    <row r="111" customFormat="false" ht="15" hidden="false" customHeight="false" outlineLevel="0" collapsed="false">
      <c r="C111" s="33"/>
      <c r="D111" s="33"/>
      <c r="E111" s="34"/>
    </row>
    <row r="112" customFormat="false" ht="15" hidden="false" customHeight="false" outlineLevel="0" collapsed="false">
      <c r="C112" s="33"/>
      <c r="D112" s="33"/>
      <c r="E112" s="34"/>
    </row>
    <row r="113" customFormat="false" ht="15" hidden="false" customHeight="false" outlineLevel="0" collapsed="false">
      <c r="C113" s="33"/>
      <c r="D113" s="33"/>
      <c r="E113" s="34"/>
    </row>
    <row r="114" customFormat="false" ht="15" hidden="false" customHeight="false" outlineLevel="0" collapsed="false">
      <c r="C114" s="33"/>
      <c r="D114" s="33"/>
      <c r="E114" s="34"/>
    </row>
    <row r="115" customFormat="false" ht="15" hidden="false" customHeight="false" outlineLevel="0" collapsed="false">
      <c r="C115" s="33"/>
      <c r="D115" s="33"/>
      <c r="E115" s="34"/>
    </row>
    <row r="116" customFormat="false" ht="15" hidden="false" customHeight="false" outlineLevel="0" collapsed="false">
      <c r="C116" s="33"/>
      <c r="D116" s="33"/>
      <c r="E116" s="34"/>
    </row>
    <row r="117" customFormat="false" ht="15" hidden="false" customHeight="false" outlineLevel="0" collapsed="false">
      <c r="C117" s="33"/>
      <c r="D117" s="33"/>
      <c r="E117" s="34"/>
    </row>
    <row r="118" customFormat="false" ht="15" hidden="false" customHeight="false" outlineLevel="0" collapsed="false">
      <c r="C118" s="33"/>
      <c r="D118" s="33"/>
      <c r="E118" s="34"/>
    </row>
    <row r="119" customFormat="false" ht="15" hidden="false" customHeight="false" outlineLevel="0" collapsed="false">
      <c r="C119" s="33"/>
      <c r="D119" s="33"/>
      <c r="E119" s="34"/>
    </row>
    <row r="120" customFormat="false" ht="15" hidden="false" customHeight="false" outlineLevel="0" collapsed="false">
      <c r="C120" s="33"/>
      <c r="D120" s="33"/>
      <c r="E120" s="34"/>
    </row>
    <row r="121" customFormat="false" ht="15" hidden="false" customHeight="false" outlineLevel="0" collapsed="false">
      <c r="C121" s="33"/>
      <c r="D121" s="33"/>
      <c r="E121" s="34"/>
    </row>
    <row r="122" customFormat="false" ht="15" hidden="false" customHeight="false" outlineLevel="0" collapsed="false">
      <c r="C122" s="33"/>
      <c r="D122" s="33"/>
      <c r="E122" s="34"/>
    </row>
    <row r="123" customFormat="false" ht="15" hidden="false" customHeight="false" outlineLevel="0" collapsed="false">
      <c r="C123" s="33"/>
      <c r="D123" s="33"/>
      <c r="E123" s="34"/>
    </row>
    <row r="124" customFormat="false" ht="15" hidden="false" customHeight="false" outlineLevel="0" collapsed="false">
      <c r="C124" s="33"/>
      <c r="D124" s="33"/>
      <c r="E124" s="34"/>
    </row>
    <row r="125" customFormat="false" ht="15" hidden="false" customHeight="false" outlineLevel="0" collapsed="false">
      <c r="C125" s="33"/>
      <c r="D125" s="33"/>
      <c r="E125" s="34"/>
    </row>
    <row r="126" customFormat="false" ht="15" hidden="false" customHeight="false" outlineLevel="0" collapsed="false">
      <c r="C126" s="33"/>
      <c r="D126" s="33"/>
      <c r="E126" s="34"/>
    </row>
    <row r="127" customFormat="false" ht="15" hidden="false" customHeight="false" outlineLevel="0" collapsed="false">
      <c r="C127" s="33"/>
      <c r="D127" s="33"/>
      <c r="E127" s="34"/>
    </row>
    <row r="128" customFormat="false" ht="15" hidden="false" customHeight="false" outlineLevel="0" collapsed="false">
      <c r="C128" s="33"/>
      <c r="D128" s="33"/>
      <c r="E128" s="34"/>
    </row>
    <row r="129" customFormat="false" ht="15" hidden="false" customHeight="false" outlineLevel="0" collapsed="false">
      <c r="C129" s="33"/>
      <c r="D129" s="33"/>
      <c r="E129" s="34"/>
    </row>
    <row r="130" customFormat="false" ht="15" hidden="false" customHeight="false" outlineLevel="0" collapsed="false">
      <c r="C130" s="33"/>
      <c r="D130" s="33"/>
      <c r="E130" s="34"/>
    </row>
    <row r="131" customFormat="false" ht="15" hidden="false" customHeight="false" outlineLevel="0" collapsed="false">
      <c r="C131" s="33"/>
      <c r="D131" s="33"/>
      <c r="E131" s="34"/>
    </row>
    <row r="132" customFormat="false" ht="15" hidden="false" customHeight="false" outlineLevel="0" collapsed="false">
      <c r="C132" s="33"/>
      <c r="D132" s="33"/>
      <c r="E132" s="34"/>
    </row>
    <row r="133" customFormat="false" ht="15" hidden="false" customHeight="false" outlineLevel="0" collapsed="false">
      <c r="C133" s="33"/>
      <c r="D133" s="33"/>
      <c r="E133" s="34"/>
    </row>
    <row r="134" customFormat="false" ht="15" hidden="false" customHeight="false" outlineLevel="0" collapsed="false">
      <c r="C134" s="33"/>
      <c r="D134" s="33"/>
      <c r="E134" s="34"/>
    </row>
    <row r="135" customFormat="false" ht="15" hidden="false" customHeight="false" outlineLevel="0" collapsed="false">
      <c r="C135" s="33"/>
      <c r="D135" s="33"/>
      <c r="E135" s="34"/>
    </row>
    <row r="136" customFormat="false" ht="15" hidden="false" customHeight="false" outlineLevel="0" collapsed="false">
      <c r="C136" s="33"/>
      <c r="D136" s="33"/>
      <c r="E136" s="34"/>
    </row>
    <row r="137" customFormat="false" ht="15" hidden="false" customHeight="false" outlineLevel="0" collapsed="false">
      <c r="C137" s="33"/>
      <c r="D137" s="33"/>
      <c r="E137" s="34"/>
    </row>
    <row r="138" customFormat="false" ht="15" hidden="false" customHeight="false" outlineLevel="0" collapsed="false">
      <c r="C138" s="33"/>
      <c r="D138" s="33"/>
      <c r="E138" s="34"/>
    </row>
    <row r="139" customFormat="false" ht="15" hidden="false" customHeight="false" outlineLevel="0" collapsed="false">
      <c r="C139" s="33"/>
      <c r="D139" s="33"/>
      <c r="E139" s="34"/>
    </row>
    <row r="140" customFormat="false" ht="15" hidden="false" customHeight="false" outlineLevel="0" collapsed="false">
      <c r="C140" s="33"/>
      <c r="D140" s="33"/>
      <c r="E140" s="34"/>
    </row>
    <row r="141" customFormat="false" ht="15" hidden="false" customHeight="false" outlineLevel="0" collapsed="false">
      <c r="C141" s="33"/>
      <c r="D141" s="33"/>
      <c r="E141" s="34"/>
    </row>
    <row r="142" customFormat="false" ht="15" hidden="false" customHeight="false" outlineLevel="0" collapsed="false">
      <c r="C142" s="33"/>
      <c r="D142" s="33"/>
      <c r="E142" s="34"/>
    </row>
    <row r="143" customFormat="false" ht="15" hidden="false" customHeight="false" outlineLevel="0" collapsed="false">
      <c r="C143" s="33"/>
      <c r="D143" s="33"/>
      <c r="E143" s="34"/>
    </row>
    <row r="144" customFormat="false" ht="15" hidden="false" customHeight="false" outlineLevel="0" collapsed="false">
      <c r="C144" s="33"/>
      <c r="D144" s="33"/>
      <c r="E144" s="34"/>
    </row>
    <row r="145" customFormat="false" ht="15" hidden="false" customHeight="false" outlineLevel="0" collapsed="false">
      <c r="C145" s="33"/>
      <c r="D145" s="33"/>
      <c r="E145" s="34"/>
    </row>
    <row r="146" customFormat="false" ht="15" hidden="false" customHeight="false" outlineLevel="0" collapsed="false">
      <c r="C146" s="33"/>
      <c r="D146" s="33"/>
      <c r="E146" s="34"/>
    </row>
    <row r="147" customFormat="false" ht="15" hidden="false" customHeight="false" outlineLevel="0" collapsed="false">
      <c r="C147" s="33"/>
      <c r="D147" s="33"/>
      <c r="E147" s="34"/>
    </row>
    <row r="148" customFormat="false" ht="15" hidden="false" customHeight="false" outlineLevel="0" collapsed="false">
      <c r="C148" s="33"/>
      <c r="D148" s="33"/>
      <c r="E148" s="34"/>
    </row>
    <row r="149" customFormat="false" ht="15" hidden="false" customHeight="false" outlineLevel="0" collapsed="false">
      <c r="C149" s="33"/>
      <c r="D149" s="33"/>
      <c r="E149" s="34"/>
    </row>
    <row r="150" customFormat="false" ht="15" hidden="false" customHeight="false" outlineLevel="0" collapsed="false">
      <c r="C150" s="33"/>
      <c r="D150" s="33"/>
      <c r="E150" s="34"/>
    </row>
    <row r="151" customFormat="false" ht="15" hidden="false" customHeight="false" outlineLevel="0" collapsed="false">
      <c r="C151" s="33"/>
      <c r="D151" s="33"/>
      <c r="E151" s="34"/>
    </row>
    <row r="152" customFormat="false" ht="15" hidden="false" customHeight="false" outlineLevel="0" collapsed="false">
      <c r="C152" s="33"/>
      <c r="D152" s="33"/>
      <c r="E152" s="34"/>
    </row>
    <row r="153" customFormat="false" ht="15" hidden="false" customHeight="false" outlineLevel="0" collapsed="false">
      <c r="C153" s="33"/>
      <c r="D153" s="33"/>
      <c r="E153" s="34"/>
    </row>
    <row r="154" customFormat="false" ht="15" hidden="false" customHeight="false" outlineLevel="0" collapsed="false">
      <c r="C154" s="33"/>
      <c r="D154" s="33"/>
      <c r="E154" s="34"/>
    </row>
    <row r="155" customFormat="false" ht="15" hidden="false" customHeight="false" outlineLevel="0" collapsed="false">
      <c r="C155" s="33"/>
      <c r="D155" s="33"/>
      <c r="E155" s="34"/>
    </row>
    <row r="156" customFormat="false" ht="15" hidden="false" customHeight="false" outlineLevel="0" collapsed="false">
      <c r="C156" s="33"/>
      <c r="D156" s="33"/>
      <c r="E156" s="34"/>
    </row>
    <row r="157" customFormat="false" ht="15" hidden="false" customHeight="false" outlineLevel="0" collapsed="false">
      <c r="C157" s="33"/>
      <c r="D157" s="33"/>
      <c r="E157" s="34"/>
    </row>
    <row r="158" customFormat="false" ht="15" hidden="false" customHeight="false" outlineLevel="0" collapsed="false">
      <c r="C158" s="33"/>
      <c r="D158" s="33"/>
      <c r="E158" s="34"/>
    </row>
    <row r="159" customFormat="false" ht="15" hidden="false" customHeight="false" outlineLevel="0" collapsed="false">
      <c r="C159" s="33"/>
      <c r="D159" s="33"/>
      <c r="E159" s="34"/>
    </row>
    <row r="160" customFormat="false" ht="15" hidden="false" customHeight="false" outlineLevel="0" collapsed="false">
      <c r="C160" s="33"/>
      <c r="D160" s="33"/>
      <c r="E160" s="34"/>
    </row>
    <row r="161" customFormat="false" ht="15" hidden="false" customHeight="false" outlineLevel="0" collapsed="false">
      <c r="C161" s="33"/>
      <c r="D161" s="33"/>
      <c r="E161" s="34"/>
    </row>
    <row r="162" customFormat="false" ht="15" hidden="false" customHeight="false" outlineLevel="0" collapsed="false">
      <c r="C162" s="33"/>
      <c r="D162" s="33"/>
      <c r="E162" s="34"/>
    </row>
    <row r="163" customFormat="false" ht="15" hidden="false" customHeight="false" outlineLevel="0" collapsed="false">
      <c r="C163" s="33"/>
      <c r="D163" s="33"/>
      <c r="E163" s="34"/>
    </row>
    <row r="164" customFormat="false" ht="15" hidden="false" customHeight="false" outlineLevel="0" collapsed="false">
      <c r="C164" s="33"/>
      <c r="D164" s="33"/>
      <c r="E164" s="34"/>
    </row>
    <row r="165" customFormat="false" ht="15" hidden="false" customHeight="false" outlineLevel="0" collapsed="false">
      <c r="C165" s="33"/>
      <c r="D165" s="33"/>
      <c r="E165" s="34"/>
    </row>
    <row r="166" customFormat="false" ht="15" hidden="false" customHeight="false" outlineLevel="0" collapsed="false">
      <c r="C166" s="33"/>
      <c r="D166" s="33"/>
      <c r="E166" s="34"/>
    </row>
    <row r="167" customFormat="false" ht="15" hidden="false" customHeight="false" outlineLevel="0" collapsed="false">
      <c r="C167" s="33"/>
      <c r="D167" s="33"/>
      <c r="E167" s="34"/>
    </row>
    <row r="168" customFormat="false" ht="15" hidden="false" customHeight="false" outlineLevel="0" collapsed="false">
      <c r="C168" s="33"/>
      <c r="D168" s="33"/>
      <c r="E168" s="34"/>
    </row>
    <row r="169" customFormat="false" ht="15" hidden="false" customHeight="false" outlineLevel="0" collapsed="false">
      <c r="C169" s="33"/>
      <c r="D169" s="33"/>
      <c r="E169" s="34"/>
    </row>
    <row r="170" customFormat="false" ht="15" hidden="false" customHeight="false" outlineLevel="0" collapsed="false">
      <c r="C170" s="33"/>
      <c r="D170" s="33"/>
      <c r="E170" s="34"/>
    </row>
    <row r="171" customFormat="false" ht="15" hidden="false" customHeight="false" outlineLevel="0" collapsed="false">
      <c r="C171" s="33"/>
      <c r="D171" s="33"/>
      <c r="E171" s="34"/>
    </row>
    <row r="172" customFormat="false" ht="15" hidden="false" customHeight="false" outlineLevel="0" collapsed="false">
      <c r="C172" s="33"/>
      <c r="D172" s="33"/>
      <c r="E172" s="34"/>
    </row>
    <row r="173" customFormat="false" ht="15" hidden="false" customHeight="false" outlineLevel="0" collapsed="false">
      <c r="C173" s="33"/>
      <c r="D173" s="33"/>
      <c r="E173" s="34"/>
    </row>
    <row r="174" customFormat="false" ht="15" hidden="false" customHeight="false" outlineLevel="0" collapsed="false">
      <c r="C174" s="33"/>
      <c r="D174" s="33"/>
      <c r="E174" s="34"/>
    </row>
    <row r="175" customFormat="false" ht="15" hidden="false" customHeight="false" outlineLevel="0" collapsed="false">
      <c r="C175" s="33"/>
      <c r="D175" s="33"/>
      <c r="E175" s="34"/>
    </row>
    <row r="176" customFormat="false" ht="15" hidden="false" customHeight="false" outlineLevel="0" collapsed="false">
      <c r="C176" s="33"/>
      <c r="D176" s="33"/>
      <c r="E176" s="34"/>
    </row>
    <row r="177" customFormat="false" ht="15" hidden="false" customHeight="false" outlineLevel="0" collapsed="false">
      <c r="C177" s="33"/>
      <c r="D177" s="33"/>
      <c r="E177" s="34"/>
    </row>
    <row r="178" customFormat="false" ht="15" hidden="false" customHeight="false" outlineLevel="0" collapsed="false">
      <c r="C178" s="33"/>
      <c r="D178" s="33"/>
      <c r="E178" s="34"/>
    </row>
    <row r="179" customFormat="false" ht="15" hidden="false" customHeight="false" outlineLevel="0" collapsed="false">
      <c r="C179" s="33"/>
      <c r="D179" s="33"/>
      <c r="E179" s="34"/>
    </row>
    <row r="180" customFormat="false" ht="15" hidden="false" customHeight="false" outlineLevel="0" collapsed="false">
      <c r="C180" s="33"/>
      <c r="D180" s="33"/>
      <c r="E180" s="34"/>
    </row>
    <row r="181" customFormat="false" ht="15" hidden="false" customHeight="false" outlineLevel="0" collapsed="false">
      <c r="C181" s="33"/>
      <c r="D181" s="33"/>
      <c r="E181" s="34"/>
    </row>
    <row r="182" customFormat="false" ht="15" hidden="false" customHeight="false" outlineLevel="0" collapsed="false">
      <c r="C182" s="33"/>
      <c r="D182" s="33"/>
      <c r="E182" s="34"/>
    </row>
    <row r="183" customFormat="false" ht="15" hidden="false" customHeight="false" outlineLevel="0" collapsed="false">
      <c r="C183" s="33"/>
      <c r="D183" s="33"/>
      <c r="E183" s="34"/>
    </row>
    <row r="184" customFormat="false" ht="15" hidden="false" customHeight="false" outlineLevel="0" collapsed="false">
      <c r="C184" s="33"/>
      <c r="D184" s="33"/>
      <c r="E184" s="34"/>
    </row>
    <row r="185" customFormat="false" ht="15" hidden="false" customHeight="false" outlineLevel="0" collapsed="false">
      <c r="C185" s="33"/>
      <c r="D185" s="33"/>
      <c r="E185" s="34"/>
    </row>
    <row r="186" customFormat="false" ht="15" hidden="false" customHeight="false" outlineLevel="0" collapsed="false">
      <c r="C186" s="33"/>
      <c r="D186" s="33"/>
      <c r="E186" s="34"/>
    </row>
    <row r="187" customFormat="false" ht="15" hidden="false" customHeight="false" outlineLevel="0" collapsed="false">
      <c r="C187" s="33"/>
      <c r="D187" s="33"/>
      <c r="E187" s="34"/>
    </row>
    <row r="188" customFormat="false" ht="15" hidden="false" customHeight="false" outlineLevel="0" collapsed="false">
      <c r="C188" s="33"/>
      <c r="D188" s="33"/>
      <c r="E188" s="34"/>
    </row>
    <row r="189" customFormat="false" ht="15" hidden="false" customHeight="false" outlineLevel="0" collapsed="false">
      <c r="C189" s="33"/>
      <c r="D189" s="33"/>
      <c r="E189" s="34"/>
    </row>
    <row r="190" customFormat="false" ht="15" hidden="false" customHeight="false" outlineLevel="0" collapsed="false">
      <c r="C190" s="33"/>
      <c r="D190" s="33"/>
      <c r="E190" s="34"/>
    </row>
    <row r="191" customFormat="false" ht="15" hidden="false" customHeight="false" outlineLevel="0" collapsed="false">
      <c r="C191" s="33"/>
      <c r="D191" s="33"/>
      <c r="E191" s="34"/>
    </row>
    <row r="192" customFormat="false" ht="15" hidden="false" customHeight="false" outlineLevel="0" collapsed="false">
      <c r="C192" s="33"/>
      <c r="D192" s="33"/>
      <c r="E192" s="34"/>
    </row>
    <row r="193" customFormat="false" ht="15" hidden="false" customHeight="false" outlineLevel="0" collapsed="false">
      <c r="C193" s="33"/>
      <c r="D193" s="33"/>
      <c r="E193" s="34"/>
    </row>
    <row r="194" customFormat="false" ht="15" hidden="false" customHeight="false" outlineLevel="0" collapsed="false">
      <c r="C194" s="33"/>
      <c r="D194" s="33"/>
      <c r="E194" s="34"/>
    </row>
    <row r="195" customFormat="false" ht="15" hidden="false" customHeight="false" outlineLevel="0" collapsed="false">
      <c r="C195" s="33"/>
      <c r="D195" s="33"/>
      <c r="E195" s="34"/>
    </row>
    <row r="196" customFormat="false" ht="15" hidden="false" customHeight="false" outlineLevel="0" collapsed="false">
      <c r="C196" s="33"/>
      <c r="D196" s="33"/>
      <c r="E196" s="34"/>
    </row>
    <row r="197" customFormat="false" ht="15" hidden="false" customHeight="false" outlineLevel="0" collapsed="false">
      <c r="C197" s="33"/>
      <c r="D197" s="33"/>
      <c r="E197" s="34"/>
    </row>
    <row r="198" customFormat="false" ht="15" hidden="false" customHeight="false" outlineLevel="0" collapsed="false">
      <c r="C198" s="33"/>
      <c r="D198" s="33"/>
      <c r="E198" s="34"/>
    </row>
    <row r="199" customFormat="false" ht="15" hidden="false" customHeight="false" outlineLevel="0" collapsed="false">
      <c r="C199" s="33"/>
      <c r="D199" s="33"/>
      <c r="E199" s="34"/>
    </row>
    <row r="200" customFormat="false" ht="15" hidden="false" customHeight="false" outlineLevel="0" collapsed="false">
      <c r="C200" s="33"/>
      <c r="D200" s="33"/>
      <c r="E200" s="34"/>
    </row>
    <row r="201" customFormat="false" ht="15" hidden="false" customHeight="false" outlineLevel="0" collapsed="false">
      <c r="C201" s="33"/>
      <c r="D201" s="33"/>
      <c r="E201" s="34"/>
    </row>
    <row r="202" customFormat="false" ht="15" hidden="false" customHeight="false" outlineLevel="0" collapsed="false">
      <c r="C202" s="33"/>
      <c r="D202" s="33"/>
      <c r="E202" s="34"/>
    </row>
    <row r="203" customFormat="false" ht="15" hidden="false" customHeight="false" outlineLevel="0" collapsed="false">
      <c r="C203" s="33"/>
      <c r="D203" s="33"/>
      <c r="E203" s="34"/>
    </row>
    <row r="204" customFormat="false" ht="15" hidden="false" customHeight="false" outlineLevel="0" collapsed="false">
      <c r="C204" s="33"/>
      <c r="D204" s="33"/>
      <c r="E204" s="34"/>
    </row>
    <row r="205" customFormat="false" ht="15" hidden="false" customHeight="false" outlineLevel="0" collapsed="false">
      <c r="C205" s="33"/>
      <c r="D205" s="33"/>
      <c r="E205" s="34"/>
    </row>
    <row r="206" customFormat="false" ht="15" hidden="false" customHeight="false" outlineLevel="0" collapsed="false">
      <c r="C206" s="33"/>
      <c r="D206" s="33"/>
      <c r="E206" s="34"/>
    </row>
    <row r="207" customFormat="false" ht="15" hidden="false" customHeight="false" outlineLevel="0" collapsed="false">
      <c r="C207" s="33"/>
      <c r="D207" s="33"/>
      <c r="E207" s="34"/>
    </row>
    <row r="208" customFormat="false" ht="15" hidden="false" customHeight="false" outlineLevel="0" collapsed="false">
      <c r="C208" s="33"/>
      <c r="D208" s="33"/>
      <c r="E208" s="34"/>
    </row>
    <row r="209" customFormat="false" ht="15" hidden="false" customHeight="false" outlineLevel="0" collapsed="false">
      <c r="C209" s="33"/>
      <c r="D209" s="33"/>
      <c r="E209" s="34"/>
    </row>
    <row r="210" customFormat="false" ht="15" hidden="false" customHeight="false" outlineLevel="0" collapsed="false">
      <c r="C210" s="33"/>
      <c r="D210" s="33"/>
      <c r="E210" s="34"/>
    </row>
    <row r="211" customFormat="false" ht="15" hidden="false" customHeight="false" outlineLevel="0" collapsed="false">
      <c r="C211" s="33"/>
      <c r="D211" s="33"/>
      <c r="E211" s="34"/>
    </row>
    <row r="212" customFormat="false" ht="15" hidden="false" customHeight="false" outlineLevel="0" collapsed="false">
      <c r="C212" s="33"/>
      <c r="D212" s="33"/>
      <c r="E212" s="34"/>
    </row>
    <row r="213" customFormat="false" ht="15" hidden="false" customHeight="false" outlineLevel="0" collapsed="false">
      <c r="C213" s="33"/>
      <c r="D213" s="33"/>
      <c r="E213" s="34"/>
    </row>
    <row r="214" customFormat="false" ht="15" hidden="false" customHeight="false" outlineLevel="0" collapsed="false">
      <c r="C214" s="33"/>
      <c r="D214" s="33"/>
      <c r="E214" s="34"/>
    </row>
    <row r="215" customFormat="false" ht="15" hidden="false" customHeight="false" outlineLevel="0" collapsed="false">
      <c r="C215" s="33"/>
      <c r="D215" s="33"/>
      <c r="E215" s="34"/>
    </row>
    <row r="216" customFormat="false" ht="15" hidden="false" customHeight="false" outlineLevel="0" collapsed="false">
      <c r="C216" s="33"/>
      <c r="D216" s="33"/>
      <c r="E216" s="34"/>
    </row>
    <row r="217" customFormat="false" ht="15" hidden="false" customHeight="false" outlineLevel="0" collapsed="false">
      <c r="C217" s="33"/>
      <c r="D217" s="33"/>
      <c r="E217" s="34"/>
    </row>
    <row r="218" customFormat="false" ht="15" hidden="false" customHeight="false" outlineLevel="0" collapsed="false">
      <c r="C218" s="33"/>
      <c r="D218" s="33"/>
      <c r="E218" s="34"/>
    </row>
    <row r="219" customFormat="false" ht="15" hidden="false" customHeight="false" outlineLevel="0" collapsed="false">
      <c r="C219" s="33"/>
      <c r="D219" s="33"/>
      <c r="E219" s="34"/>
    </row>
    <row r="220" customFormat="false" ht="15" hidden="false" customHeight="false" outlineLevel="0" collapsed="false">
      <c r="C220" s="33"/>
      <c r="D220" s="33"/>
      <c r="E220" s="34"/>
    </row>
    <row r="221" customFormat="false" ht="15" hidden="false" customHeight="false" outlineLevel="0" collapsed="false">
      <c r="C221" s="33"/>
      <c r="D221" s="33"/>
      <c r="E221" s="34"/>
    </row>
    <row r="222" customFormat="false" ht="15" hidden="false" customHeight="false" outlineLevel="0" collapsed="false">
      <c r="C222" s="33"/>
      <c r="D222" s="33"/>
      <c r="E222" s="34"/>
    </row>
    <row r="223" customFormat="false" ht="15" hidden="false" customHeight="false" outlineLevel="0" collapsed="false">
      <c r="C223" s="33"/>
      <c r="D223" s="33"/>
      <c r="E223" s="34"/>
    </row>
    <row r="224" customFormat="false" ht="15" hidden="false" customHeight="false" outlineLevel="0" collapsed="false">
      <c r="C224" s="33"/>
      <c r="D224" s="33"/>
      <c r="E224" s="34"/>
    </row>
    <row r="225" customFormat="false" ht="15" hidden="false" customHeight="false" outlineLevel="0" collapsed="false">
      <c r="C225" s="33"/>
      <c r="D225" s="33"/>
      <c r="E225" s="34"/>
    </row>
    <row r="226" customFormat="false" ht="15" hidden="false" customHeight="false" outlineLevel="0" collapsed="false">
      <c r="C226" s="33"/>
      <c r="D226" s="33"/>
      <c r="E226" s="34"/>
    </row>
    <row r="227" customFormat="false" ht="15" hidden="false" customHeight="false" outlineLevel="0" collapsed="false">
      <c r="C227" s="33"/>
      <c r="D227" s="33"/>
      <c r="E227" s="34"/>
    </row>
    <row r="228" customFormat="false" ht="15" hidden="false" customHeight="false" outlineLevel="0" collapsed="false">
      <c r="C228" s="33"/>
      <c r="D228" s="33"/>
      <c r="E228" s="34"/>
    </row>
    <row r="229" customFormat="false" ht="15" hidden="false" customHeight="false" outlineLevel="0" collapsed="false">
      <c r="C229" s="33"/>
      <c r="D229" s="33"/>
      <c r="E229" s="34"/>
    </row>
    <row r="230" customFormat="false" ht="15" hidden="false" customHeight="false" outlineLevel="0" collapsed="false">
      <c r="C230" s="33"/>
      <c r="D230" s="33"/>
      <c r="E230" s="34"/>
    </row>
    <row r="231" customFormat="false" ht="15" hidden="false" customHeight="false" outlineLevel="0" collapsed="false">
      <c r="C231" s="33"/>
      <c r="D231" s="33"/>
      <c r="E231" s="34"/>
    </row>
    <row r="232" customFormat="false" ht="15" hidden="false" customHeight="false" outlineLevel="0" collapsed="false">
      <c r="C232" s="33"/>
      <c r="D232" s="33"/>
      <c r="E232" s="34"/>
    </row>
    <row r="233" customFormat="false" ht="15" hidden="false" customHeight="false" outlineLevel="0" collapsed="false">
      <c r="C233" s="33"/>
      <c r="D233" s="33"/>
      <c r="E233" s="34"/>
    </row>
    <row r="234" customFormat="false" ht="15" hidden="false" customHeight="false" outlineLevel="0" collapsed="false">
      <c r="C234" s="33"/>
      <c r="D234" s="33"/>
      <c r="E234" s="34"/>
    </row>
    <row r="235" customFormat="false" ht="15" hidden="false" customHeight="false" outlineLevel="0" collapsed="false">
      <c r="C235" s="33"/>
      <c r="D235" s="33"/>
      <c r="E235" s="34"/>
    </row>
    <row r="236" customFormat="false" ht="15" hidden="false" customHeight="false" outlineLevel="0" collapsed="false">
      <c r="C236" s="33"/>
      <c r="D236" s="33"/>
      <c r="E236" s="34"/>
    </row>
    <row r="237" customFormat="false" ht="15" hidden="false" customHeight="false" outlineLevel="0" collapsed="false">
      <c r="C237" s="33"/>
      <c r="D237" s="33"/>
      <c r="E237" s="34"/>
    </row>
    <row r="238" customFormat="false" ht="15" hidden="false" customHeight="false" outlineLevel="0" collapsed="false">
      <c r="C238" s="33"/>
      <c r="D238" s="33"/>
      <c r="E238" s="34"/>
    </row>
    <row r="239" customFormat="false" ht="15" hidden="false" customHeight="false" outlineLevel="0" collapsed="false">
      <c r="C239" s="33"/>
      <c r="D239" s="33"/>
      <c r="E239" s="34"/>
    </row>
    <row r="240" customFormat="false" ht="15" hidden="false" customHeight="false" outlineLevel="0" collapsed="false">
      <c r="C240" s="33"/>
      <c r="D240" s="33"/>
      <c r="E240" s="34"/>
    </row>
    <row r="241" customFormat="false" ht="15" hidden="false" customHeight="false" outlineLevel="0" collapsed="false">
      <c r="C241" s="33"/>
      <c r="D241" s="33"/>
      <c r="E241" s="34"/>
    </row>
    <row r="242" customFormat="false" ht="15" hidden="false" customHeight="false" outlineLevel="0" collapsed="false">
      <c r="C242" s="33"/>
      <c r="D242" s="33"/>
      <c r="E242" s="34"/>
    </row>
    <row r="243" customFormat="false" ht="15" hidden="false" customHeight="false" outlineLevel="0" collapsed="false">
      <c r="C243" s="33"/>
      <c r="D243" s="33"/>
      <c r="E243" s="34"/>
    </row>
    <row r="244" customFormat="false" ht="15" hidden="false" customHeight="false" outlineLevel="0" collapsed="false">
      <c r="C244" s="33"/>
      <c r="D244" s="33"/>
      <c r="E244" s="34"/>
    </row>
    <row r="245" customFormat="false" ht="15" hidden="false" customHeight="false" outlineLevel="0" collapsed="false">
      <c r="C245" s="33"/>
      <c r="D245" s="33"/>
      <c r="E245" s="34"/>
    </row>
    <row r="246" customFormat="false" ht="15" hidden="false" customHeight="false" outlineLevel="0" collapsed="false">
      <c r="C246" s="33"/>
      <c r="D246" s="33"/>
      <c r="E246" s="34"/>
    </row>
    <row r="247" customFormat="false" ht="15" hidden="false" customHeight="false" outlineLevel="0" collapsed="false">
      <c r="C247" s="33"/>
      <c r="D247" s="33"/>
      <c r="E247" s="34"/>
    </row>
    <row r="248" customFormat="false" ht="15" hidden="false" customHeight="false" outlineLevel="0" collapsed="false">
      <c r="C248" s="33"/>
      <c r="D248" s="33"/>
      <c r="E248" s="34"/>
    </row>
    <row r="249" customFormat="false" ht="15" hidden="false" customHeight="false" outlineLevel="0" collapsed="false">
      <c r="C249" s="33"/>
      <c r="D249" s="33"/>
      <c r="E249" s="34"/>
    </row>
    <row r="250" customFormat="false" ht="15" hidden="false" customHeight="false" outlineLevel="0" collapsed="false">
      <c r="C250" s="33"/>
      <c r="D250" s="33"/>
      <c r="E250" s="34"/>
    </row>
    <row r="251" customFormat="false" ht="15" hidden="false" customHeight="false" outlineLevel="0" collapsed="false">
      <c r="C251" s="33"/>
      <c r="D251" s="33"/>
      <c r="E251" s="34"/>
    </row>
    <row r="252" customFormat="false" ht="15" hidden="false" customHeight="false" outlineLevel="0" collapsed="false">
      <c r="C252" s="33"/>
      <c r="D252" s="33"/>
      <c r="E252" s="34"/>
    </row>
    <row r="253" customFormat="false" ht="15" hidden="false" customHeight="false" outlineLevel="0" collapsed="false">
      <c r="C253" s="33"/>
      <c r="D253" s="33"/>
      <c r="E253" s="34"/>
    </row>
    <row r="254" customFormat="false" ht="15" hidden="false" customHeight="false" outlineLevel="0" collapsed="false">
      <c r="C254" s="33"/>
      <c r="D254" s="33"/>
      <c r="E254" s="34"/>
    </row>
    <row r="255" customFormat="false" ht="15" hidden="false" customHeight="false" outlineLevel="0" collapsed="false">
      <c r="C255" s="33"/>
      <c r="D255" s="33"/>
      <c r="E255" s="34"/>
    </row>
    <row r="256" customFormat="false" ht="15" hidden="false" customHeight="false" outlineLevel="0" collapsed="false">
      <c r="C256" s="33"/>
      <c r="D256" s="33"/>
      <c r="E256" s="34"/>
    </row>
    <row r="257" customFormat="false" ht="15" hidden="false" customHeight="false" outlineLevel="0" collapsed="false">
      <c r="C257" s="33"/>
      <c r="D257" s="33"/>
      <c r="E257" s="34"/>
    </row>
    <row r="258" customFormat="false" ht="15" hidden="false" customHeight="false" outlineLevel="0" collapsed="false">
      <c r="C258" s="33"/>
      <c r="D258" s="33"/>
      <c r="E258" s="34"/>
    </row>
    <row r="259" customFormat="false" ht="15" hidden="false" customHeight="false" outlineLevel="0" collapsed="false">
      <c r="C259" s="33"/>
      <c r="D259" s="33"/>
      <c r="E259" s="34"/>
    </row>
    <row r="260" customFormat="false" ht="15" hidden="false" customHeight="false" outlineLevel="0" collapsed="false">
      <c r="C260" s="33"/>
      <c r="D260" s="33"/>
      <c r="E260" s="34"/>
    </row>
  </sheetData>
  <dataValidations count="1">
    <dataValidation allowBlank="true" operator="between" showDropDown="false" showErrorMessage="true" showInputMessage="true" sqref="C6" type="list">
      <formula1>"Payer,Receiver"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1:D1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19" activeCellId="0" sqref="F19"/>
    </sheetView>
  </sheetViews>
  <sheetFormatPr defaultColWidth="10.58203125" defaultRowHeight="15" zeroHeight="false" outlineLevelRow="0" outlineLevelCol="0"/>
  <sheetData>
    <row r="1" customFormat="false" ht="15.75" hidden="false" customHeight="false" outlineLevel="0" collapsed="false"/>
    <row r="2" customFormat="false" ht="19.5" hidden="false" customHeight="false" outlineLevel="0" collapsed="false">
      <c r="B2" s="1" t="s">
        <v>42</v>
      </c>
      <c r="C2" s="1"/>
      <c r="D2" s="1"/>
    </row>
    <row r="3" customFormat="false" ht="15.75" hidden="false" customHeight="false" outlineLevel="0" collapsed="false">
      <c r="B3" s="3" t="s">
        <v>2</v>
      </c>
      <c r="C3" s="4" t="s">
        <v>43</v>
      </c>
      <c r="D3" s="5"/>
    </row>
    <row r="4" customFormat="false" ht="15.75" hidden="false" customHeight="false" outlineLevel="0" collapsed="false">
      <c r="B4" s="7" t="n">
        <v>28</v>
      </c>
      <c r="C4" s="8" t="n">
        <v>0</v>
      </c>
      <c r="D4" s="9"/>
    </row>
    <row r="5" customFormat="false" ht="15" hidden="false" customHeight="false" outlineLevel="0" collapsed="false">
      <c r="B5" s="13" t="n">
        <v>84</v>
      </c>
      <c r="C5" s="14" t="n">
        <v>0</v>
      </c>
      <c r="D5" s="15"/>
    </row>
    <row r="6" customFormat="false" ht="15" hidden="false" customHeight="false" outlineLevel="0" collapsed="false">
      <c r="B6" s="13" t="n">
        <v>168</v>
      </c>
      <c r="C6" s="14" t="n">
        <v>0</v>
      </c>
      <c r="D6" s="15"/>
    </row>
    <row r="7" customFormat="false" ht="15" hidden="false" customHeight="false" outlineLevel="0" collapsed="false">
      <c r="B7" s="13" t="n">
        <v>252</v>
      </c>
      <c r="C7" s="14" t="n">
        <v>-105</v>
      </c>
      <c r="D7" s="15"/>
    </row>
    <row r="8" customFormat="false" ht="15" hidden="false" customHeight="false" outlineLevel="0" collapsed="false">
      <c r="B8" s="13" t="n">
        <v>364</v>
      </c>
      <c r="C8" s="35" t="n">
        <v>4055.811</v>
      </c>
      <c r="D8" s="15"/>
    </row>
    <row r="9" customFormat="false" ht="15" hidden="false" customHeight="false" outlineLevel="0" collapsed="false">
      <c r="B9" s="13" t="n">
        <v>728</v>
      </c>
      <c r="C9" s="35" t="n">
        <v>1297.7975</v>
      </c>
      <c r="D9" s="15"/>
    </row>
    <row r="10" customFormat="false" ht="15" hidden="false" customHeight="false" outlineLevel="0" collapsed="false">
      <c r="B10" s="13" t="n">
        <v>1092</v>
      </c>
      <c r="C10" s="35" t="n">
        <v>1870.3</v>
      </c>
      <c r="D10" s="15"/>
    </row>
    <row r="11" customFormat="false" ht="15" hidden="false" customHeight="false" outlineLevel="0" collapsed="false">
      <c r="B11" s="13" t="n">
        <v>1456</v>
      </c>
      <c r="C11" s="35" t="n">
        <v>-2879.404</v>
      </c>
      <c r="D11" s="15"/>
    </row>
    <row r="12" customFormat="false" ht="15" hidden="false" customHeight="false" outlineLevel="0" collapsed="false">
      <c r="B12" s="13" t="n">
        <v>1820</v>
      </c>
      <c r="C12" s="35" t="n">
        <v>-3462.099</v>
      </c>
      <c r="D12" s="15"/>
    </row>
    <row r="13" customFormat="false" ht="15" hidden="false" customHeight="false" outlineLevel="0" collapsed="false">
      <c r="B13" s="13" t="n">
        <v>2548</v>
      </c>
      <c r="C13" s="35" t="n">
        <v>5237.8945</v>
      </c>
      <c r="D13" s="15"/>
    </row>
    <row r="14" customFormat="false" ht="15.75" hidden="false" customHeight="false" outlineLevel="0" collapsed="false">
      <c r="B14" s="7" t="n">
        <v>3640</v>
      </c>
      <c r="C14" s="36" t="n">
        <v>6669.5655</v>
      </c>
      <c r="D14" s="9"/>
    </row>
  </sheetData>
  <mergeCells count="1">
    <mergeCell ref="B2:D2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LibreOffice/6.4.7.2$Linux_X86_64 LibreOffice_project/40$Build-2</Application>
  <Company>PRODUBAN MX FACC 12/2013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2016-11-03T17:46:45Z</dcterms:created>
  <dc:creator>CARLOS JOSSELES MARTINEZ BECERRIL</dc:creator>
  <dc:description/>
  <dc:language>en-US</dc:language>
  <cp:lastModifiedBy/>
  <dcterms:modified xsi:type="dcterms:W3CDTF">2021-09-27T20:12:39Z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PRODUBAN MX FACC 12/2013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